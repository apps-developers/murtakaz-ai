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ttconline-my.sharepoint.com/personal/akhuriji_rafedsa_com/Documents/Desktop/بناء مؤشرات الاداء/الادارات/"/>
    </mc:Choice>
  </mc:AlternateContent>
  <xr:revisionPtr revIDLastSave="14" documentId="8_{EB5C323B-77D5-41FC-9ED5-777AE581836C}" xr6:coauthVersionLast="47" xr6:coauthVersionMax="47" xr10:uidLastSave="{C3627D9F-E500-46B5-95E8-17DF90E2521C}"/>
  <bookViews>
    <workbookView xWindow="-120" yWindow="-120" windowWidth="29040" windowHeight="15720" xr2:uid="{1A50AD5C-E285-4535-A169-28D6BC417B0D}"/>
  </bookViews>
  <sheets>
    <sheet name="KPI Framework" sheetId="1" r:id="rId1"/>
    <sheet name="Composite KPI Structure" sheetId="2" r:id="rId2"/>
    <sheet name="Executive KPIs" sheetId="3" r:id="rId3"/>
    <sheet name="KPI's Details" sheetId="4" r:id="rId4"/>
  </sheets>
  <definedNames>
    <definedName name="_xlnm._FilterDatabase" localSheetId="0" hidden="1">'KPI Framework'!$A$1:$M$27</definedName>
    <definedName name="_xlnm._FilterDatabase" localSheetId="3" hidden="1">'KPI''s Details'!$A$1:$T$37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16" i="3"/>
  <c r="E16" i="3"/>
  <c r="D16" i="3"/>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Amal Fheed AlMutairi</author>
  </authors>
  <commentList>
    <comment ref="O6" authorId="0" shapeId="0" xr:uid="{9A02517F-5D17-4694-8E5E-AB447E9296B7}">
      <text>
        <r>
          <rPr>
            <sz val="11"/>
            <color theme="1"/>
            <rFont val="Aptos Narrow"/>
            <family val="2"/>
            <scheme val="minor"/>
          </rPr>
          <t>Amal Fheed AlMutairi:
النسبة المضافة في عرض المجلس 84%؟</t>
        </r>
      </text>
    </comment>
  </commentList>
</comments>
</file>

<file path=xl/sharedStrings.xml><?xml version="1.0" encoding="utf-8"?>
<sst xmlns="http://schemas.openxmlformats.org/spreadsheetml/2006/main" count="1084" uniqueCount="465">
  <si>
    <t>#</t>
  </si>
  <si>
    <t>KPI Name</t>
  </si>
  <si>
    <t>Type</t>
  </si>
  <si>
    <t>Lead / Lag</t>
  </si>
  <si>
    <t>Why This KPI Matters (Impact)</t>
  </si>
  <si>
    <t>Calculation Formula</t>
  </si>
  <si>
    <t>Primary Data Source</t>
  </si>
  <si>
    <t>Board / CEO Focus</t>
  </si>
  <si>
    <t>RAFED Responsible</t>
  </si>
  <si>
    <t>Short-Term Actions (Now → Q3 2026)</t>
  </si>
  <si>
    <t>Long-Term Actions (Post Q3 2026)</t>
  </si>
  <si>
    <t>Can Be Measured?</t>
  </si>
  <si>
    <t>Expected Measurement Year</t>
  </si>
  <si>
    <t>Baseline 2024</t>
  </si>
  <si>
    <t>Baseline 2025</t>
  </si>
  <si>
    <t>2026 Target</t>
  </si>
  <si>
    <t>5-Year Target</t>
  </si>
  <si>
    <t>🔴 SAFETY &amp; SECURITY KPIs</t>
  </si>
  <si>
    <t>S-01</t>
  </si>
  <si>
    <t>Safety Performance Index</t>
  </si>
  <si>
    <t>PRIMARY (Composite)</t>
  </si>
  <si>
    <t>Lagging</t>
  </si>
  <si>
    <t>Provides a consolidated, executive-level view of overall safety performance during school transportation trips, enabling leadership to track safety outcomes holistically and ensure alignment with a zero-fatality objective.</t>
  </si>
  <si>
    <t>COMPOSITE INDEX:
(Total Accidents × 35%) + (Fatalities × 35%) + (Equipment Functionality × 15%) + (Student Safety Compliance × 15%)
Normalized to 0-100 scale where higher score = better safety performance.
See "Sub-Components Details" sheet for individual component formulas.</t>
  </si>
  <si>
    <t>Incident reports, police reports, inspection logs, compliance observations</t>
  </si>
  <si>
    <t>Board &amp; CEO</t>
  </si>
  <si>
    <t>Safety &amp; Ops Governance</t>
  </si>
  <si>
    <t>Establish integrated scoring methodology, set baseline measurements</t>
  </si>
  <si>
    <t>Deploy predictive safety analytics, automated monitoring</t>
  </si>
  <si>
    <t>Yes</t>
  </si>
  <si>
    <t>TBD</t>
  </si>
  <si>
    <t>S-02</t>
  </si>
  <si>
    <t>Preventable Accident Rate</t>
  </si>
  <si>
    <t>STANDALONE</t>
  </si>
  <si>
    <t>Highlights accidents that could be avoided through improved driver behavior, training, and adherence to safety procedures, supporting proactive risk reduction.</t>
  </si>
  <si>
    <t>(Preventable accidents ÷ Total km) × 1M</t>
  </si>
  <si>
    <t>Vendor incident reports, insurance</t>
  </si>
  <si>
    <t>Enforce vendor RCA, penalties, suspend repeat offenders</t>
  </si>
  <si>
    <t>Predictive safety scoring, dynamic vendor allocation</t>
  </si>
  <si>
    <t xml:space="preserve">Yes </t>
  </si>
  <si>
    <t>medium</t>
  </si>
  <si>
    <t>keep</t>
  </si>
  <si>
    <t>S-03</t>
  </si>
  <si>
    <t>Safety Response &amp; Management Index</t>
  </si>
  <si>
    <t>Leading</t>
  </si>
  <si>
    <t>Measures the effectiveness of managing safety incidents from response to closure, ensuring accountability and continuous improvement.</t>
  </si>
  <si>
    <t>COMPOSITE INDEX:
(Response Time Score × 50%) + (Response Effectiveness × 30%) + (Data Completeness × 20%)
Normalized to 0-100 scale.
See "Sub-Components Details" sheet for individual component formulas.</t>
  </si>
  <si>
    <t>Incident management system, safety database, GPS tracking</t>
  </si>
  <si>
    <t>CEO</t>
  </si>
  <si>
    <t>Establish response protocols and monitoring dashboard</t>
  </si>
  <si>
    <t>Deploy AI-based incident prediction</t>
  </si>
  <si>
    <t>S-04</t>
  </si>
  <si>
    <t>Safety Violation Index</t>
  </si>
  <si>
    <t>Enables early detection of safety non-compliance by identifying recurring violations before they escalate into serious incidents.</t>
  </si>
  <si>
    <t>(Number of Violations ÷ Total Drivers) × 1,000</t>
  </si>
  <si>
    <t>Exclusion Management System - Alert System</t>
  </si>
  <si>
    <t xml:space="preserve">0.19 per 1000 driver </t>
  </si>
  <si>
    <t xml:space="preserve">0.14 per 1000 driver </t>
  </si>
  <si>
    <t>This indicator requires further discussion.</t>
  </si>
  <si>
    <t>5–6 per 1,000/month</t>
  </si>
  <si>
    <t>to fill</t>
  </si>
  <si>
    <t>S-05</t>
  </si>
  <si>
    <t>Driver Safety Training &amp; Compliance</t>
  </si>
  <si>
    <t>Ensures drivers are properly trained and certified, directly contributing to safer driving behavior and reduced safety risks.</t>
  </si>
  <si>
    <t>Compliant drivers ÷ Total drivers × 100</t>
  </si>
  <si>
    <t>Vendor training records, audits</t>
  </si>
  <si>
    <t>Safety &amp; Contracts</t>
  </si>
  <si>
    <t>Collect evidence, baseline gaps, define national standard</t>
  </si>
  <si>
    <t>RAFED-approved training ecosystem &amp; digital verification</t>
  </si>
  <si>
    <t>low</t>
  </si>
  <si>
    <t>S-06</t>
  </si>
  <si>
    <t>Near-Miss Reporting Rate</t>
  </si>
  <si>
    <t>Captures potential safety risks before accidents occur, strengthening proactive safety management and early intervention.</t>
  </si>
  <si>
    <t>Near-miss reports ÷ 1,000 trips</t>
  </si>
  <si>
    <t>Vendor reports (manual/digital)</t>
  </si>
  <si>
    <t>Safety &amp; Vendor Mgmt</t>
  </si>
  <si>
    <t>Mandatory reporting clause, no-blame policy</t>
  </si>
  <si>
    <t>Incentive-based reporting, automated analytics</t>
  </si>
  <si>
    <t>remove</t>
  </si>
  <si>
    <t>S-07</t>
  </si>
  <si>
    <t>Student Behavioral Incident Rate</t>
  </si>
  <si>
    <t>Monitors safety-related student behavior during transportation trips to identify and mitigate behavioral risks.</t>
  </si>
  <si>
    <t>Incidents ÷ 1,000 trips</t>
  </si>
  <si>
    <t>Vendor reports, CCTV</t>
  </si>
  <si>
    <t>Ops Standards</t>
  </si>
  <si>
    <t>Require vendor behavior programs</t>
  </si>
  <si>
    <t>Behavior analytics &amp; risk profiling</t>
  </si>
  <si>
    <t xml:space="preserve">high </t>
  </si>
  <si>
    <t>S-08</t>
  </si>
  <si>
    <t>Safety Audit &amp; Governance Index</t>
  </si>
  <si>
    <t>Provides assurance on safety governance effectiveness, audit compliance, and closure of safety findings.</t>
  </si>
  <si>
    <t>COMPOSITE INDEX:
(Audit Pass Rate × 60%) + (Corrective Action Closure × 40%)
Normalized to 0-100 scale.
See "Sub-Components Details" sheet for individual component formulas.</t>
  </si>
  <si>
    <t>Audit reports</t>
  </si>
  <si>
    <t>Board</t>
  </si>
  <si>
    <t>GRC &amp; Safety</t>
  </si>
  <si>
    <t>Risk-based audits, corrective plans</t>
  </si>
  <si>
    <t>Continuous compliance monitoring (SMS)</t>
  </si>
  <si>
    <t>S-09</t>
  </si>
  <si>
    <t>Safety Concentration Risk Index</t>
  </si>
  <si>
    <t>Identifies routes, locations, or conditions where safety risks are concentrated, enabling targeted interventions.</t>
  </si>
  <si>
    <t>% of trips handled by top 3 vendors</t>
  </si>
  <si>
    <t>Contract &amp; ops data</t>
  </si>
  <si>
    <t>Strategy &amp; Safety</t>
  </si>
  <si>
    <t>Map vendor exposure, diversify allocations</t>
  </si>
  <si>
    <t>Dynamic load balancing, capacity expansion</t>
  </si>
  <si>
    <t>S-10</t>
  </si>
  <si>
    <t>Training Hours per Driver</t>
  </si>
  <si>
    <t>Ensures drivers meet required training and competency standards, supporting safe and reliable transportation operations.</t>
  </si>
  <si>
    <t xml:space="preserve">total of driver trained x total of training houres </t>
  </si>
  <si>
    <t>Training Platform</t>
  </si>
  <si>
    <t>Planning</t>
  </si>
  <si>
    <t>Standardize mandatory training programs and tracking</t>
  </si>
  <si>
    <t>Establish continuous learning and certification programs</t>
  </si>
  <si>
    <t>Hours/Year 4-5</t>
  </si>
  <si>
    <t>Hours/Year 6-7</t>
  </si>
  <si>
    <t>REVIEW</t>
  </si>
  <si>
    <t>📞 CUSTOMER EXPERIENCE KPIs</t>
  </si>
  <si>
    <t>CX-01</t>
  </si>
  <si>
    <t>Parent Satisfaction &amp; Loyalty Index</t>
  </si>
  <si>
    <t>Provides an overall view of customer satisfaction with school transportation services, enabling leadership to assess service quality and prioritize experience improvement initiatives.</t>
  </si>
  <si>
    <t>COMPOSITE INDEX:
(CSAT × 70%) + (NPS Normalized × 30%)
Normalized to 0-100 scale.
See "Sub-Components Details" sheet for individual component formulas.</t>
  </si>
  <si>
    <t>Surveys, CRM</t>
  </si>
  <si>
    <t>CX Governance</t>
  </si>
  <si>
    <t>Standard survey, route-level analysis</t>
  </si>
  <si>
    <t>Predictive CX analytics</t>
  </si>
  <si>
    <t>CX-02</t>
  </si>
  <si>
    <t>Call Center Service Excellence Index</t>
  </si>
  <si>
    <t>Measures the effectiveness and responsiveness of customer contact channels, supporting reliable communication and timely support for beneficiaries.</t>
  </si>
  <si>
    <t>COMPOSITE INDEX:
(ASA Score × 40%) + (Abandonment Inverse × 30%) + (FCR × 30%)
Normalized to 0-100 scale.
See "Sub-Components Details" sheet for individual component formulas.</t>
  </si>
  <si>
    <t>Telephony system</t>
  </si>
  <si>
    <t>CX Ops</t>
  </si>
  <si>
    <t>Peak staffing, IVR tuning</t>
  </si>
  <si>
    <t>AI-assisted routing</t>
  </si>
  <si>
    <t>CX-03</t>
  </si>
  <si>
    <t>Complaint Management Effectiveness</t>
  </si>
  <si>
    <t>Tracks complaint resolution performance, reinforcing accountability, service recovery effectiveness, and continuous improvement in customer experience.</t>
  </si>
  <si>
    <t>CRM, schools</t>
  </si>
  <si>
    <t>Pareto analysis</t>
  </si>
  <si>
    <t>Predictive complaint reduction</t>
  </si>
  <si>
    <t>CX-04</t>
  </si>
  <si>
    <t>Delay Notification Timeliness</t>
  </si>
  <si>
    <t>Ensures timely notification of service delays, strengthening transparency, trust, and coordination with beneficiaries.</t>
  </si>
  <si>
    <t>Timely alerts ÷ Total delays ×100</t>
  </si>
  <si>
    <t>Ops logs, SMS</t>
  </si>
  <si>
    <t>Ops + CX</t>
  </si>
  <si>
    <t>Manual alerts</t>
  </si>
  <si>
    <t>Automated ETA-based alerts</t>
  </si>
  <si>
    <t>CX-05</t>
  </si>
  <si>
    <t>Parent App Adoption Rate</t>
  </si>
  <si>
    <t>Monitors adoption of digital customer channels, supporting efficient communication, self-service enablement, and reduced reliance on manual interactions.</t>
  </si>
  <si>
    <t>Active users ÷ Eligible parents ×100</t>
  </si>
  <si>
    <t>App analytics</t>
  </si>
  <si>
    <t>Digital CX</t>
  </si>
  <si>
    <t>Awareness campaigns</t>
  </si>
  <si>
    <t>Mandatory onboarding</t>
  </si>
  <si>
    <t>N\D</t>
  </si>
  <si>
    <t>CX-06</t>
  </si>
  <si>
    <t>School Satisfaction Index</t>
  </si>
  <si>
    <t>Assesses school satisfaction with transportation services, supporting stakeholder relationship management and alignment with educational partners.</t>
  </si>
  <si>
    <t>(Number of Positive Ratings ÷ Total Number of Ratings) × 100</t>
  </si>
  <si>
    <t>MoE Data Source + Transportation Platform</t>
  </si>
  <si>
    <t>Strengthen communication and feedback with schools</t>
  </si>
  <si>
    <t>Build long-term partnerships and co-design programs</t>
  </si>
  <si>
    <t>≥85%</t>
  </si>
  <si>
    <t>📊 PLANNING &amp; OPERATIONS KPIs</t>
  </si>
  <si>
    <t>P-01</t>
  </si>
  <si>
    <t>School Transportation Service Coverage Rate</t>
  </si>
  <si>
    <t>Provides visibility into school-level service coverage, enabling identification of coverage gaps and informed planning decisions.</t>
  </si>
  <si>
    <t>Total Number of Public Schools Covered in KSA ÷ Total Number of Public Schools x100
(ex: cov= 50, total schools = 100: 50 /100*100 = 50%)</t>
  </si>
  <si>
    <t>Review school coverage with MoE, identify uncovered schools, and set rollout priorities</t>
  </si>
  <si>
    <t>Expand nationwide coverage and align with national education plans</t>
  </si>
  <si>
    <t>P-02</t>
  </si>
  <si>
    <t>Planning Effectiveness Index</t>
  </si>
  <si>
    <t>PRIMARY</t>
  </si>
  <si>
    <t>Comprehensive planning quality: coverage, eligibility, route planning, rural access, optimization.</t>
  </si>
  <si>
    <t xml:space="preserve">COMPOSITE: (Student Coverage × 30%) + (Eligibility × 20%) + (Route Planning × 20%) + (Rural × 15%) + (Optimization × 15%). </t>
  </si>
  <si>
    <t>Planning Governance</t>
  </si>
  <si>
    <t>Baseline all components</t>
  </si>
  <si>
    <t>Predictive planning</t>
  </si>
  <si>
    <t>P-03</t>
  </si>
  <si>
    <t>Bus Capacity Utilization Rate</t>
  </si>
  <si>
    <t>Monitors capacity utilization to balance operational efficiency with safety and service standards.</t>
  </si>
  <si>
    <t>Number of Covered Students ÷ Total actve  Bus Seats x100</t>
  </si>
  <si>
    <t>Transportation Platform</t>
  </si>
  <si>
    <t>Rebalance routes and reduce underutilized buses</t>
  </si>
  <si>
    <t>Apply flexible fleet allocation based on demand</t>
  </si>
  <si>
    <t>P-04</t>
  </si>
  <si>
    <t>ETA Accuracy at Stop</t>
  </si>
  <si>
    <t>Measures accuracy of estimated arrival times, supporting operational coordination and improved customer experience.</t>
  </si>
  <si>
    <t>Stops within ±3 min ÷ Total</t>
  </si>
  <si>
    <t>GPS, ETA engine</t>
  </si>
  <si>
    <t>Ops + Digital</t>
  </si>
  <si>
    <t>Manual calibration</t>
  </si>
  <si>
    <t>ML-based ETA</t>
  </si>
  <si>
    <t>P-05</t>
  </si>
  <si>
    <t>Overall Operator Performance Index</t>
  </si>
  <si>
    <t>Provides a consolidated view of operator performance across safety, compliance, service delivery, and customer experience dimensions.</t>
  </si>
  <si>
    <t>The performance was divided into the weights of the following indicators: (Operational Performance 40% - Safety and Security 20% - Compliance and Discipline 7.5% - Driver 5% - Violation Handling 20% - Fleet 2.5% - Customer Care 5%)</t>
  </si>
  <si>
    <t>MoE Data Source( NOOR System)  + Transportation Platform</t>
  </si>
  <si>
    <t>Standardize performance scoring and benchmarking</t>
  </si>
  <si>
    <t>Link performance to incentives and contracts</t>
  </si>
  <si>
    <t>Parent KPI</t>
  </si>
  <si>
    <t>Component #</t>
  </si>
  <si>
    <t>Component Name</t>
  </si>
  <si>
    <t>Weight</t>
  </si>
  <si>
    <t>Calculation Formula (Original)</t>
  </si>
  <si>
    <t>Data Source</t>
  </si>
  <si>
    <t>Why This Component Matters</t>
  </si>
  <si>
    <t>🔴 SAFETY &amp; SECURITY - Sub-Components</t>
  </si>
  <si>
    <t>S-01: Safety Performance Index (4 Components)</t>
  </si>
  <si>
    <t>1</t>
  </si>
  <si>
    <t>Total Accident Rate</t>
  </si>
  <si>
    <t>(Total accidents ÷ Total km) × 1M</t>
  </si>
  <si>
    <t>Incident Management System</t>
  </si>
  <si>
    <t>Captures the overall frequency of accidents during transportation operations, providing a baseline view of exposure to safety risk. A 25% weight reflects its importance without overemphasizing severity-driven outcomes.</t>
  </si>
  <si>
    <t>2</t>
  </si>
  <si>
    <t>Number of Fatality</t>
  </si>
  <si>
    <t>Represents the most critical safety outcome with irreversible impact, serving as the primary indicator of system failure. The highest weight (40%) reflects zero tolerance for fatalities.</t>
  </si>
  <si>
    <t>3</t>
  </si>
  <si>
    <t>Safety Equipment Functionality Rate</t>
  </si>
  <si>
    <t>Compliant buses ÷ Total buses × 100</t>
  </si>
  <si>
    <t>Inspections, audits</t>
  </si>
  <si>
    <t>Measures availability and functionality of safety equipment that prevents or mitigates accidents. A 15% weight reflects its preventive and enabling role.</t>
  </si>
  <si>
    <t>4</t>
  </si>
  <si>
    <t>Student Safety Compliance Rate</t>
  </si>
  <si>
    <t>(Total number of students transported − Total number of student injuries) ÷ Total number of students transported]</t>
  </si>
  <si>
    <t>Assesses adherence to student safety rules during transportation, directly influencing accident likelihood. A 20% weight reflects its behavioral impact on safety risk.</t>
  </si>
  <si>
    <t>S-03: Safety Response &amp; Management Index (3 Components)</t>
  </si>
  <si>
    <t>Response Time to Incidents</t>
  </si>
  <si>
    <t>50%</t>
  </si>
  <si>
    <t>Avg (First response − Incident time)</t>
  </si>
  <si>
    <t>Vendor logs, RAFED control room</t>
  </si>
  <si>
    <t>25 - 30 min avg</t>
  </si>
  <si>
    <t>15 - 20 min avg</t>
  </si>
  <si>
    <t>10 - 15 min avg</t>
  </si>
  <si>
    <t>Measures how quickly incidents are responded to, as response speed is critical to minimizing consequences. The highest weight (50%) reflects its direct outcome impact.</t>
  </si>
  <si>
    <t>Emergency Response Effectiveness Score</t>
  </si>
  <si>
    <t>30%</t>
  </si>
  <si>
    <t>Avg post-incident score (1–5)</t>
  </si>
  <si>
    <t>Post-incident reviews</t>
  </si>
  <si>
    <t>Evaluates quality and appropriateness of emergency response actions beyond speed alone. A 30% weight reflects the importance of effective execution.</t>
  </si>
  <si>
    <t>20%</t>
  </si>
  <si>
    <t>Incidents reported within SLA ÷ Total incidents × 100</t>
  </si>
  <si>
    <t>Vendor submissions, platform logs</t>
  </si>
  <si>
    <t>Assesses availability and timeliness of safety data required for investigation and learning. A 20% weight reflects its foundational role.</t>
  </si>
  <si>
    <t>S-08: Safety Audit &amp; Governance Index (2 Components)</t>
  </si>
  <si>
    <t>Safety Audit Pass Rate</t>
  </si>
  <si>
    <t>60%</t>
  </si>
  <si>
    <t>Audits passed ÷ Total audits × 100</t>
  </si>
  <si>
    <t>Measures compliance with defined safety standards and controls, serving as the primary governance outcome. A higher weight (60%) reflects its assurance role.</t>
  </si>
  <si>
    <t>40%</t>
  </si>
  <si>
    <t>Closed actions ÷ Total actions × 100</t>
  </si>
  <si>
    <t>Action tracker</t>
  </si>
  <si>
    <t>Tracks whether identified safety gaps are effectively addressed and closed. A 40% weight reflects the importance of follow-through.</t>
  </si>
  <si>
    <t>📞 CUSTOMER EXPERIENCE - Sub-Components</t>
  </si>
  <si>
    <t>CX-01: Parent Satisfaction &amp; Loyalty Index (2 Components)</t>
  </si>
  <si>
    <t>70%</t>
  </si>
  <si>
    <t>Satisfied responses ÷ Total responses ×100</t>
  </si>
  <si>
    <t>Measures parents’ direct satisfaction with transportation services, serving as the primary outcome indicator of service quality. A dominant weight (70%) reflects its central role.</t>
  </si>
  <si>
    <t>Net Promoter Score (NPS)</t>
  </si>
  <si>
    <t>%Promoters − %Detractors</t>
  </si>
  <si>
    <t>Surveys</t>
  </si>
  <si>
    <t>Captures customer loyalty and advocacy beyond satisfaction, providing insight into long-term trust. A 30% weight reflects its complementary nature.</t>
  </si>
  <si>
    <t>CX-02: Call Center Service Excellence Index (3 Components)</t>
  </si>
  <si>
    <t>Average Speed of Answer (ASA)</t>
  </si>
  <si>
    <t>Avg wait time in seconds</t>
  </si>
  <si>
    <t>Measures accessibility of support services by tracking how quickly calls are answered. A 40% weight reflects its role as the primary access metric.</t>
  </si>
  <si>
    <t>Call Abandonment Rate</t>
  </si>
  <si>
    <t>Abandoned calls ÷ Offered calls ×100</t>
  </si>
  <si>
    <t>Telephony</t>
  </si>
  <si>
    <t>Indicates customer frustration due to excessive wait times, signaling service breakdowns. A 30% weight reflects its experience impact.</t>
  </si>
  <si>
    <t>First Contact Resolution (FCR)</t>
  </si>
  <si>
    <t>Issues resolved on first contact ÷ Total issues</t>
  </si>
  <si>
    <t>CRM</t>
  </si>
  <si>
    <t>Measures ability to resolve customer issues on first contact, reducing repeat calls and dissatisfaction. A 30% weight reflects efficiency and quality impact.</t>
  </si>
  <si>
    <t>CX-03: Complaint Management Effectiveness (2 Components)</t>
  </si>
  <si>
    <t>Complaints ÷ (Trips/1,000)</t>
  </si>
  <si>
    <t>Tracks volume of formal complaints, indicating recurring service issues or unmet expectations. An equal weight (50%) reflects its signal role.</t>
  </si>
  <si>
    <t>Complaint Resolution Time</t>
  </si>
  <si>
    <t>Avg days to close</t>
  </si>
  <si>
    <t>Measures how quickly complaints are resolved, demonstrating responsiveness and accountability. An equal weight (50%) reflects service recovery importance.</t>
  </si>
  <si>
    <t>📊 PLANNING &amp; OPERATIONS - Sub-Components</t>
  </si>
  <si>
    <t>P-01b: Planning Effectiveness Index</t>
  </si>
  <si>
    <t>Total Number of Public Students Covered in KSA ÷ Total Number of Public Students x100
(ex: cov= 300, Total students = 1000: 300/1000*100 =30%</t>
  </si>
  <si>
    <t>Measures student coverage against eligible demand, supporting strategic decisions on service expansion and resource allocation.</t>
  </si>
  <si>
    <t>Eligibility Rate of Registered Students</t>
  </si>
  <si>
    <t>Total Number of Students Eligibled ÷ Total Number of Registered Students x100
(ex: elg= 800 , total students=1000 : 800/1000*100=80%</t>
  </si>
  <si>
    <t>Ensures accuracy and reliability of student eligibility data, which is critical for effective demand planning, routing, and forecasting.</t>
  </si>
  <si>
    <t xml:space="preserve"> Total Number of routed  Students Eligible  ÷ Total Number of Students Eligibledx100 
(ex: routed  Students 80, Total Students=100: 80/100*100=80%</t>
  </si>
  <si>
    <t>N/D</t>
  </si>
  <si>
    <t>no baseline</t>
  </si>
  <si>
    <t>Measures readiness of planned routes and capacity against eligible demand, enabling proactive service preparation before operations commence.</t>
  </si>
  <si>
    <t>15%</t>
  </si>
  <si>
    <t>Number of Remote &amp; rural Students Covered ÷ Number of Remote &amp; rural Students Registeredx100</t>
  </si>
  <si>
    <t>Highlights accessibility of transportation services in rural and remote areas, supporting equity objectives and targeted planning interventions.</t>
  </si>
  <si>
    <t>5</t>
  </si>
  <si>
    <t>Route Optimization Efficiency</t>
  </si>
  <si>
    <t>Actual avrg route time ÷ target optimal route time x100</t>
  </si>
  <si>
    <t>Tracks route optimization effectiveness, supporting efficiency improvements while maintaining safety and service quality constraints.</t>
  </si>
  <si>
    <t>RAFED KPI Framework - Executive Summary</t>
  </si>
  <si>
    <t>⭐ PRIMARY (Composite) KPIs - Board/CEO Dashboard (7 KPIs)</t>
  </si>
  <si>
    <t>Category</t>
  </si>
  <si>
    <t>Key Components</t>
  </si>
  <si>
    <t>Derived From</t>
  </si>
  <si>
    <t>Purpose (Why it Matters)</t>
  </si>
  <si>
    <t>Reporting Frequency</t>
  </si>
  <si>
    <t>KPI Type</t>
  </si>
  <si>
    <t>Owner</t>
  </si>
  <si>
    <t>Safety</t>
  </si>
  <si>
    <t>Fatality Rate, Preventable Accident Rate, Safety Equipment Functionality, Student Safety Compliance</t>
  </si>
  <si>
    <t>(S-01) Sub-components</t>
  </si>
  <si>
    <t>Provides a consolidated executive view of overall safety outcomes across the transportation network and tracks progress toward zero-fatality objectives.</t>
  </si>
  <si>
    <t>Quarterly</t>
  </si>
  <si>
    <t>Composite / Strategic</t>
  </si>
  <si>
    <t>Planning &amp; Performance + Safety Governance</t>
  </si>
  <si>
    <t>Response Time, Emergency Response Effectiveness, Safety Data Completeness</t>
  </si>
  <si>
    <t>(S-03) Sub-components</t>
  </si>
  <si>
    <t>Measures how effectively safety incidents are responded to and managed, ensuring accountability and timely corrective actions.</t>
  </si>
  <si>
    <t>Composite / Governance</t>
  </si>
  <si>
    <t>Safety &amp; Operations Oversight</t>
  </si>
  <si>
    <t>Student Coverage, Rural Coverage, Eligibility Data Accuracy, Capacity Readiness, Route Optimization</t>
  </si>
  <si>
    <t>(P-02, P-03, P-04, P-05, P-06)</t>
  </si>
  <si>
    <t>Shows how effectively planning translates eligible demand into executable, equitable, and ready transportation services.</t>
  </si>
  <si>
    <t>Planning &amp; Performance</t>
  </si>
  <si>
    <t>Customer Experience Index</t>
  </si>
  <si>
    <t>CX</t>
  </si>
  <si>
    <t>CSAT, NPS, Call Center Excellence, Complaint Management</t>
  </si>
  <si>
    <t>(CX-01, CX-02, CX-03)</t>
  </si>
  <si>
    <t>Provides an integrated view of parent satisfaction, service accessibility, and complaint management effectiveness.</t>
  </si>
  <si>
    <t>Composite / Outcome</t>
  </si>
  <si>
    <t>Customer Experience / Planning &amp; Performance</t>
  </si>
  <si>
    <t>Safety, Compliance, On-time Performance, Customer Complaints</t>
  </si>
  <si>
    <t>Evaluates third-party operator performance across safety, compliance, service delivery, and customer experience.</t>
  </si>
  <si>
    <t>Composite / Accountability</t>
  </si>
  <si>
    <t>Planning &amp; Performance + Operations</t>
  </si>
  <si>
    <t>📊 KPI Framework Overview</t>
  </si>
  <si>
    <t>PRIMARY KPIs</t>
  </si>
  <si>
    <t>STANDALONE KPIs</t>
  </si>
  <si>
    <t>Total</t>
  </si>
  <si>
    <t>Sub-Components</t>
  </si>
  <si>
    <t>Safety &amp; Security</t>
  </si>
  <si>
    <t>9</t>
  </si>
  <si>
    <t>Customer Experience</t>
  </si>
  <si>
    <t>Planning &amp; Operations</t>
  </si>
  <si>
    <t>TOTAL</t>
  </si>
  <si>
    <t>Can Be Measured?
 (yes or no)</t>
  </si>
  <si>
    <t xml:space="preserve"> Reason for Not Measuring</t>
  </si>
  <si>
    <t>Complexity Level
 (Low / Medium / High)</t>
  </si>
  <si>
    <t>Decision
 ( Keep / Modify / Remove)</t>
  </si>
  <si>
    <t>Avoidable accidents = governance failure and legal exposure for RAFED.</t>
  </si>
  <si>
    <t>Vendor &amp; police reports</t>
  </si>
  <si>
    <t>Identify high-risk routes/operators, interim mitigation</t>
  </si>
  <si>
    <t>National risk heatmap, route redesign with authorities</t>
  </si>
  <si>
    <t>School Transport Fatality Rate (During Trip)</t>
  </si>
  <si>
    <t>To track safety performance during school trips and support a zero-fatality objective.</t>
  </si>
  <si>
    <t>(Fatalities / Total Trips) * 1,000,000</t>
  </si>
  <si>
    <t>Early warning of risk; low reporting often means poor safety culture.</t>
  </si>
  <si>
    <t>Ensures only trained drivers operate student transport.</t>
  </si>
  <si>
    <t>ready</t>
  </si>
  <si>
    <t>Speed limits harm and reputational damage.</t>
  </si>
  <si>
    <t>Ops Control</t>
  </si>
  <si>
    <t>Single escalation SOP, drills, shared playbooks</t>
  </si>
  <si>
    <t>National incident command &amp; predictive alerts</t>
  </si>
  <si>
    <r>
      <t>Emergency Response Effectiveness Score</t>
    </r>
    <r>
      <rPr>
        <sz val="11"/>
        <color theme="1"/>
        <rFont val="Aptos Narrow"/>
        <family val="2"/>
        <scheme val="minor"/>
      </rPr>
      <t xml:space="preserve"> </t>
    </r>
  </si>
  <si>
    <t>Fast response is not enough—response must be effective.</t>
  </si>
  <si>
    <t>Safety Governance</t>
  </si>
  <si>
    <t>Standard post-incident review, lessons learned</t>
  </si>
  <si>
    <t>Automated scoring, trend analytics</t>
  </si>
  <si>
    <t xml:space="preserve">modify </t>
  </si>
  <si>
    <t>Unsafe buses must not operate.</t>
  </si>
  <si>
    <t>Fleet Standards</t>
  </si>
  <si>
    <t>Define minimum mandatory equipment</t>
  </si>
  <si>
    <t>Standardized fleet specs &amp; predictive maintenance</t>
  </si>
  <si>
    <t>Unsafe behavior increases accident risk and driver distraction.</t>
  </si>
  <si>
    <t>Confirms real compliance with RAFED standards.</t>
  </si>
  <si>
    <t>Safety Corrective Action Closure Rate</t>
  </si>
  <si>
    <t>Open actions = open risk to RAFED.</t>
  </si>
  <si>
    <t>Manual tracking &amp; escalation</t>
  </si>
  <si>
    <t>Automated dashboards &amp; board alerts</t>
  </si>
  <si>
    <r>
      <t>Safety Concentration Risk Index</t>
    </r>
    <r>
      <rPr>
        <sz val="11"/>
        <color theme="1"/>
        <rFont val="Aptos Narrow"/>
        <family val="2"/>
        <scheme val="minor"/>
      </rPr>
      <t xml:space="preserve"> </t>
    </r>
  </si>
  <si>
    <t>Over-reliance on few vendors magnifies safety failure impact.</t>
  </si>
  <si>
    <r>
      <t>Safety Data Completeness &amp; Timeliness Rate</t>
    </r>
    <r>
      <rPr>
        <sz val="11"/>
        <color theme="1"/>
        <rFont val="Aptos Narrow"/>
        <family val="2"/>
        <scheme val="minor"/>
      </rPr>
      <t xml:space="preserve"> </t>
    </r>
  </si>
  <si>
    <t>Poor or late data hides risk and weakens governance.</t>
  </si>
  <si>
    <t>Data Governance</t>
  </si>
  <si>
    <t>Enforce reporting SLAs, data audits</t>
  </si>
  <si>
    <t>Real-time feeds, automated validation</t>
  </si>
  <si>
    <t>Core indicator of trust; reflects how parents feel during delays &amp; incidents.</t>
  </si>
  <si>
    <t>Measures willingness to recommend; proxy for reputation.</t>
  </si>
  <si>
    <t>Detractor callbacks</t>
  </si>
  <si>
    <t>Experience redesign</t>
  </si>
  <si>
    <t>Long waits create invisible dissatisfaction even if complaints are low.</t>
  </si>
  <si>
    <t>High abandonment = access failure during stress moments.</t>
  </si>
  <si>
    <t>Overflow rules</t>
  </si>
  <si>
    <t>Omni-channel self-service</t>
  </si>
  <si>
    <t>Repeat calls indicate poor empowerment or data gaps.</t>
  </si>
  <si>
    <t>Knowledge base</t>
  </si>
  <si>
    <t>Case automation</t>
  </si>
  <si>
    <t>Complaint Rate (per 1,000 trips)</t>
  </si>
  <si>
    <t>Normalized dissatisfaction metric; highlights systemic issues.</t>
  </si>
  <si>
    <t>Slow closure escalates anger and risk.</t>
  </si>
  <si>
    <t>SLA enforcement</t>
  </si>
  <si>
    <t>Workflow automation</t>
  </si>
  <si>
    <t>3 working days</t>
  </si>
  <si>
    <t>Proactive communication reduces complaints even when buses are late.</t>
  </si>
  <si>
    <t>Self-service reduces calls and improves transparency.</t>
  </si>
  <si>
    <t>Inaccurate ETAs destroy trust in digital tools.</t>
  </si>
  <si>
    <t>Added to evaluate how widely the service is deployed across Public schools. This addresses the gap of lacking visibility on underserved schools</t>
  </si>
  <si>
    <r>
      <t xml:space="preserve">Total Number of Public Schools </t>
    </r>
    <r>
      <rPr>
        <sz val="11"/>
        <color theme="1"/>
        <rFont val="Aptos Narrow"/>
        <family val="2"/>
        <scheme val="minor"/>
      </rPr>
      <t>Covered</t>
    </r>
    <r>
      <rPr>
        <sz val="11"/>
        <color theme="1"/>
        <rFont val="Aptos Narrow"/>
        <family val="2"/>
        <scheme val="minor"/>
      </rPr>
      <t xml:space="preserve"> in KSA ÷ Total Number of Public Schools x100
(ex: cov= 50, total schools = 100: 50 /100*100 = 50%)</t>
    </r>
  </si>
  <si>
    <t>Student Transportation Service Coverage Rate</t>
  </si>
  <si>
    <t>Added to measure the percentage of students transported compared to the total number of public students in the Kingdom.</t>
  </si>
  <si>
    <r>
      <t xml:space="preserve">Total Number of Public Students </t>
    </r>
    <r>
      <rPr>
        <sz val="11"/>
        <color theme="1"/>
        <rFont val="Aptos Narrow"/>
        <family val="2"/>
        <scheme val="minor"/>
      </rPr>
      <t>Covered</t>
    </r>
    <r>
      <rPr>
        <sz val="11"/>
        <color theme="1"/>
        <rFont val="Aptos Narrow"/>
        <family val="2"/>
        <scheme val="minor"/>
      </rPr>
      <t xml:space="preserve"> in KSA ÷ Total Number of Public Students x100
(ex: cov= 300, Total students = 1000: 300/1000*100 =30%</t>
    </r>
  </si>
  <si>
    <t>Review student numbers, align capacity planning, and identify underserved groups</t>
  </si>
  <si>
    <t>Improve national capacity planning and demand forecasting</t>
  </si>
  <si>
    <t>ensure accurate eligibility assessment. It addresses the gap of unclear or inconsistently applied eligibility standards.</t>
  </si>
  <si>
    <r>
      <t xml:space="preserve">Total Number of Students </t>
    </r>
    <r>
      <rPr>
        <sz val="11"/>
        <color theme="1"/>
        <rFont val="Aptos Narrow"/>
        <family val="2"/>
        <scheme val="minor"/>
      </rPr>
      <t>Eligibled</t>
    </r>
    <r>
      <rPr>
        <sz val="11"/>
        <color theme="1"/>
        <rFont val="Aptos Narrow"/>
        <family val="2"/>
        <scheme val="minor"/>
      </rPr>
      <t xml:space="preserve"> ÷ Total Number of Registered Students x100
(ex: elg= 800 , total students=1000 : 800/1000*100=80%</t>
    </r>
  </si>
  <si>
    <t>Standardize eligibility criteria and apply them consistently</t>
  </si>
  <si>
    <t>Fully automate eligibility rules and system integration</t>
  </si>
  <si>
    <t>Route Planning Coverage for Eligible Students</t>
  </si>
  <si>
    <t>Added to assess operational planning efficiency. This resolves the gap of delays and inconsistencies in route planning for eligible students.</t>
  </si>
  <si>
    <t>Improve route planning and close gaps for eligible students</t>
  </si>
  <si>
    <t>Use smart tools for route planning and dynamic adjustments</t>
  </si>
  <si>
    <t>Compare actual routes with planned routes and improve planning accuracy</t>
  </si>
  <si>
    <t>Enhance planning using traffic and demand insights</t>
  </si>
  <si>
    <t>Added to measure fleet utilization efficiency. It addresses the gap of low seat usage and rising operational costs.</t>
  </si>
  <si>
    <t>Rural &amp; Remote Accessibility Ratio</t>
  </si>
  <si>
    <t>Added to increase the coverage across Rural &amp; Remotes areas.</t>
  </si>
  <si>
    <t>Identify underserved rural areas and expand coverage</t>
  </si>
  <si>
    <t>Develop sustainable transport models for rural areas</t>
  </si>
  <si>
    <t>Added to strengthen safety culture and achieve zero preventable harm. This addresses the need to significantly reduce incidents and risks.</t>
  </si>
  <si>
    <t>CEO &amp; Board</t>
  </si>
  <si>
    <t>Strengthen reporting and enforce safety procedures</t>
  </si>
  <si>
    <t>Move toward a predictive, zero-harm safety model</t>
  </si>
  <si>
    <t>Training Hours per driver</t>
  </si>
  <si>
    <t>Added to measure and enhance the professional capability of drivers through continuous learning and upskilling. It addresses the gap in driver competency, inconsistent training quality, and the need for stronger capability development to improve safety and service performance.</t>
  </si>
  <si>
    <t>Added to provide a unified and objective measure of operator performance across the entire network. It addresses the gap of inconsistent evaluation methods, fragmented KPI tracking, and the inability to easily compare operator performance or identify underperforming providers.</t>
  </si>
  <si>
    <r>
      <t>Complaint Resolution</t>
    </r>
    <r>
      <rPr>
        <b/>
        <sz val="11"/>
        <color rgb="FFFF0000"/>
        <rFont val="Aptos Narrow"/>
        <family val="2"/>
        <scheme val="minor"/>
      </rPr>
      <t xml:space="preserve">  Within SLA</t>
    </r>
    <r>
      <rPr>
        <b/>
        <sz val="11"/>
        <color theme="9"/>
        <rFont val="Aptos Narrow"/>
        <family val="2"/>
        <scheme val="minor"/>
      </rPr>
      <t xml:space="preserve"> ( ≤72h)</t>
    </r>
  </si>
  <si>
    <t>“Added to assess the responsiveness and efficiency in closing complaints within the agreed timeframe, ensuring timely resolution and reducing gaps in customer satisfaction.”</t>
  </si>
  <si>
    <t>(Number of Complaints Closed Within SLA ÷ Total Number of Complaints) × 100</t>
  </si>
  <si>
    <t xml:space="preserve">Ticketing System </t>
  </si>
  <si>
    <t>Enforce SLA tracking and escalation processes</t>
  </si>
  <si>
    <t>Automate issue resolution and early problem detection</t>
  </si>
  <si>
    <t>Added to measure how government partners and stakeholders view the service performance. This addresses the gap in transparency and external trust.</t>
  </si>
  <si>
    <t>To fill</t>
  </si>
  <si>
    <t>7 working days</t>
  </si>
  <si>
    <t>Operator Performance Index</t>
  </si>
  <si>
    <t>(P-05)</t>
  </si>
  <si>
    <t xml:space="preserve">comment </t>
  </si>
  <si>
    <t>name was Annual Accident Frequency Rate</t>
  </si>
  <si>
    <t>Added to benchmark fleet safety against global best practices. This addresses the gap of not having a target aligned with international standards.</t>
  </si>
  <si>
    <t>Frequency</t>
  </si>
  <si>
    <t>Monthly</t>
  </si>
  <si>
    <t xml:space="preserve">Yearly </t>
  </si>
  <si>
    <t>keep or remove?</t>
  </si>
  <si>
    <t>name was Driver &amp; Supervisor Certification Ratio</t>
  </si>
  <si>
    <t>Customer Satisfaction Index (CSAT)</t>
  </si>
  <si>
    <t>name was Parent Satisfaction Index\ but customer is better</t>
  </si>
  <si>
    <t>≥90%</t>
  </si>
  <si>
    <t>Hours/Year3-4</t>
  </si>
  <si>
    <t>25-30  hours/year</t>
  </si>
  <si>
    <t>≥90%*</t>
  </si>
  <si>
    <t xml:space="preserve">Safety Data Completeness &amp; Timeliness Rate </t>
  </si>
  <si>
    <t>Complaint Resolution  Within SLA</t>
  </si>
  <si>
    <t>COMPOSITE INDEX:
(Complaint Volume Score × 35%) + (Resolution Time Performance × 35%)+(Complaint Resolution  Within SLA×30%)
Normalized to 0-100 scale.
See "Sub-Components Details" sheet for individual component formulas.</t>
  </si>
  <si>
    <t>we will define the base line- target-bench mark later</t>
  </si>
  <si>
    <t>this KPI will not be targted in new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</si>
</sst>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FFFF"/>
      <name val="Calibri"/>
      <family val="2"/>
    </font>
    <font>
      <b/>
      <sz val="14"/>
      <color rgb="FFFFFFFF"/>
      <name val="Calibri"/>
      <family val="2"/>
    </font>
    <font>
      <b/>
      <sz val="9"/>
      <name val="Calibri"/>
      <family val="2"/>
    </font>
    <font>
      <b/>
      <sz val="10"/>
      <name val="Calibri"/>
      <family val="2"/>
    </font>
    <font>
      <b/>
      <sz val="13"/>
      <color rgb="FFFFFFFF"/>
      <name val="Calibri"/>
      <family val="2"/>
    </font>
    <font>
      <b/>
      <sz val="16"/>
      <color rgb="FFFFFFFF"/>
      <name val="Calibri"/>
      <family val="2"/>
    </font>
    <font>
      <b/>
      <sz val="12"/>
      <color rgb="FFFFFFFF"/>
      <name val="Calibri"/>
      <family val="2"/>
    </font>
    <font>
      <b/>
      <sz val="11"/>
      <name val="Calibri"/>
      <family val="2"/>
    </font>
    <font>
      <b/>
      <sz val="14"/>
      <color rgb="FFFF0000"/>
      <name val="Aptos Narrow"/>
      <family val="2"/>
      <scheme val="minor"/>
    </font>
    <font>
      <sz val="11"/>
      <color theme="1"/>
      <name val="Calibri"/>
      <family val="2"/>
    </font>
    <font>
      <sz val="11"/>
      <name val="Calibri"/>
      <family val="2"/>
    </font>
    <font>
      <b/>
      <sz val="11"/>
      <color rgb="FFFF0000"/>
      <name val="Aptos Narrow"/>
      <family val="2"/>
      <scheme val="minor"/>
    </font>
    <font>
      <b/>
      <sz val="11"/>
      <color theme="9"/>
      <name val="Aptos Narrow"/>
      <family val="2"/>
      <scheme val="minor"/>
    </font>
    <font>
      <sz val="11"/>
      <color rgb="FF000000"/>
      <name val="Aptos Narrow"/>
      <family val="2"/>
    </font>
  </fonts>
  <fills count="19">
    <fill>
      <patternFill patternType="none"/>
    </fill>
    <fill>
      <patternFill patternType="gray125"/>
    </fill>
    <fill>
      <patternFill patternType="solid">
        <fgColor rgb="FF4472C4"/>
      </patternFill>
    </fill>
    <fill>
      <patternFill patternType="solid">
        <fgColor rgb="FF203864"/>
      </patternFill>
    </fill>
    <fill>
      <patternFill patternType="solid">
        <fgColor rgb="FF70AD47"/>
      </patternFill>
    </fill>
    <fill>
      <patternFill patternType="solid">
        <fgColor rgb="FFD9E1F2"/>
      </patternFill>
    </fill>
    <fill>
      <patternFill patternType="solid">
        <fgColor rgb="FF70AD47"/>
        <bgColor rgb="FF70AD47"/>
      </patternFill>
    </fill>
    <fill>
      <patternFill patternType="solid">
        <fgColor rgb="FF4472C4"/>
        <bgColor rgb="FF4472C4"/>
      </patternFill>
    </fill>
    <fill>
      <patternFill patternType="solid">
        <fgColor rgb="FF203864"/>
        <bgColor rgb="FF203864"/>
      </patternFill>
    </fill>
    <fill>
      <patternFill patternType="solid">
        <fgColor rgb="FFE2EFDA"/>
        <bgColor rgb="FFE2EFDA"/>
      </patternFill>
    </fill>
    <fill>
      <patternFill patternType="solid">
        <fgColor rgb="FF44546A"/>
        <bgColor rgb="FF44546A"/>
      </patternFill>
    </fill>
    <fill>
      <patternFill patternType="solid">
        <fgColor rgb="FFF8F9FA"/>
        <bgColor rgb="FFF8F9FA"/>
      </patternFill>
    </fill>
    <fill>
      <patternFill patternType="solid">
        <fgColor rgb="FFE7E6E6"/>
        <bgColor rgb="FFE7E6E6"/>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
      <patternFill patternType="solid">
        <fgColor theme="0"/>
      </patternFill>
    </fill>
    <fill>
      <patternFill patternType="solid">
        <fgColor theme="0"/>
        <bgColor rgb="FFE2EFDA"/>
      </patternFill>
    </fill>
    <fill>
      <patternFill patternType="solid">
        <fgColor rgb="FFFFFF00"/>
        <bgColor rgb="FFE2EFDA"/>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s>
  <cellStyleXfs count="2">
    <xf numFmtId="0" fontId="0" fillId="0" borderId="0"/>
    <xf numFmtId="9" fontId="1" fillId="0" borderId="0" applyFont="0" applyFill="0" applyBorder="0" applyAlignment="0" applyProtection="0"/>
  </cellStyleXfs>
  <cellXfs count="64">
    <xf numFmtId="0" fontId="0" fillId="0" borderId="0" xfId="0"/>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4" borderId="1" xfId="0" applyFill="1" applyBorder="1" applyAlignment="1">
      <alignment horizontal="center"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5" borderId="3" xfId="0" applyFill="1" applyBorder="1" applyAlignment="1">
      <alignment horizontal="center" vertical="center" wrapText="1"/>
    </xf>
    <xf numFmtId="0" fontId="6" fillId="5"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0" fillId="6" borderId="6" xfId="0" applyFill="1" applyBorder="1" applyAlignment="1">
      <alignment vertical="top" wrapText="1"/>
    </xf>
    <xf numFmtId="0" fontId="3" fillId="6"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0" fillId="6" borderId="6" xfId="0" applyFill="1" applyBorder="1" applyAlignment="1">
      <alignment horizontal="center" vertical="center" wrapText="1"/>
    </xf>
    <xf numFmtId="0" fontId="0" fillId="6" borderId="6" xfId="0" applyFill="1" applyBorder="1" applyAlignment="1">
      <alignment horizontal="left" vertical="center" wrapText="1"/>
    </xf>
    <xf numFmtId="0" fontId="3" fillId="7" borderId="0" xfId="0" applyFont="1" applyFill="1" applyAlignment="1">
      <alignment horizontal="center" vertical="center" wrapText="1"/>
    </xf>
    <xf numFmtId="0" fontId="0" fillId="0" borderId="1" xfId="0" applyBorder="1" applyAlignment="1">
      <alignment horizontal="center" vertical="center"/>
    </xf>
    <xf numFmtId="0" fontId="0" fillId="9" borderId="1" xfId="0" applyFill="1" applyBorder="1" applyAlignment="1">
      <alignment horizontal="center" vertical="center" wrapText="1"/>
    </xf>
    <xf numFmtId="0" fontId="6" fillId="9" borderId="1" xfId="0" applyFont="1" applyFill="1" applyBorder="1" applyAlignment="1">
      <alignment horizontal="center" vertical="center" wrapText="1"/>
    </xf>
    <xf numFmtId="9" fontId="0" fillId="9" borderId="1" xfId="0" applyNumberFormat="1" applyFill="1" applyBorder="1" applyAlignment="1">
      <alignment horizontal="center" vertical="center" wrapText="1"/>
    </xf>
    <xf numFmtId="9" fontId="0" fillId="9" borderId="1" xfId="1" applyFont="1" applyFill="1" applyBorder="1" applyAlignment="1">
      <alignment horizontal="center" vertical="center" wrapText="1"/>
    </xf>
    <xf numFmtId="0" fontId="3" fillId="7" borderId="6" xfId="0" applyFont="1" applyFill="1" applyBorder="1" applyAlignment="1">
      <alignment horizontal="center" vertical="center" wrapText="1"/>
    </xf>
    <xf numFmtId="0" fontId="0" fillId="9" borderId="6" xfId="0" applyFill="1" applyBorder="1" applyAlignment="1">
      <alignment horizontal="center" vertical="center" wrapText="1"/>
    </xf>
    <xf numFmtId="0" fontId="3" fillId="7" borderId="6" xfId="0" applyFont="1" applyFill="1" applyBorder="1" applyAlignment="1">
      <alignment horizontal="center" vertical="center"/>
    </xf>
    <xf numFmtId="0" fontId="0" fillId="11" borderId="6" xfId="0" applyFill="1" applyBorder="1" applyAlignment="1">
      <alignment horizontal="center" vertical="center"/>
    </xf>
    <xf numFmtId="0" fontId="10" fillId="12" borderId="6" xfId="0" applyFont="1" applyFill="1" applyBorder="1" applyAlignment="1">
      <alignment horizontal="center" vertical="center"/>
    </xf>
    <xf numFmtId="0" fontId="2" fillId="13" borderId="1" xfId="0" applyFont="1" applyFill="1" applyBorder="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9" fontId="0" fillId="0" borderId="1" xfId="1" applyFont="1" applyFill="1" applyBorder="1" applyAlignment="1">
      <alignment horizontal="center" vertical="center" wrapText="1"/>
    </xf>
    <xf numFmtId="0" fontId="12" fillId="0" borderId="1" xfId="0" applyFont="1" applyBorder="1" applyAlignment="1">
      <alignment horizontal="center" vertical="center" wrapText="1"/>
    </xf>
    <xf numFmtId="9" fontId="12" fillId="0" borderId="1" xfId="1" applyFont="1" applyFill="1" applyBorder="1" applyAlignment="1">
      <alignment horizontal="center" vertical="center" wrapText="1"/>
    </xf>
    <xf numFmtId="9" fontId="13" fillId="0" borderId="1" xfId="1" applyFont="1" applyFill="1" applyBorder="1" applyAlignment="1">
      <alignment horizontal="center" vertical="center" wrapText="1"/>
    </xf>
    <xf numFmtId="9" fontId="16"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0" fillId="14" borderId="1" xfId="0" applyFill="1" applyBorder="1" applyAlignment="1">
      <alignment horizontal="center" vertical="center" wrapText="1"/>
    </xf>
    <xf numFmtId="0" fontId="0" fillId="17" borderId="1" xfId="0" applyFill="1" applyBorder="1" applyAlignment="1">
      <alignment horizontal="center" vertical="center" wrapText="1"/>
    </xf>
    <xf numFmtId="3" fontId="11" fillId="14" borderId="1" xfId="1" applyNumberFormat="1" applyFont="1" applyFill="1" applyBorder="1" applyAlignment="1">
      <alignment horizontal="center" vertical="center" wrapText="1"/>
    </xf>
    <xf numFmtId="9" fontId="0" fillId="16" borderId="1" xfId="1" applyFont="1" applyFill="1" applyBorder="1" applyAlignment="1">
      <alignment horizontal="center" vertical="center" wrapText="1"/>
    </xf>
    <xf numFmtId="0" fontId="0" fillId="16" borderId="1" xfId="0" applyFill="1" applyBorder="1" applyAlignment="1">
      <alignment horizontal="center" vertical="center" wrapText="1"/>
    </xf>
    <xf numFmtId="0" fontId="0" fillId="15" borderId="1" xfId="0" applyFill="1" applyBorder="1" applyAlignment="1">
      <alignment horizontal="center" vertical="center" wrapText="1"/>
    </xf>
    <xf numFmtId="9" fontId="16" fillId="15"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0" fillId="0" borderId="2" xfId="0" applyBorder="1"/>
    <xf numFmtId="0" fontId="4" fillId="3" borderId="4" xfId="0" applyFont="1" applyFill="1" applyBorder="1" applyAlignment="1">
      <alignment horizontal="center" vertical="center"/>
    </xf>
    <xf numFmtId="0" fontId="0" fillId="0" borderId="5" xfId="0" applyBorder="1"/>
    <xf numFmtId="0" fontId="3" fillId="6" borderId="1" xfId="0" applyFont="1" applyFill="1" applyBorder="1" applyAlignment="1">
      <alignment horizontal="center" vertical="center"/>
    </xf>
    <xf numFmtId="0" fontId="0" fillId="0" borderId="1" xfId="0" applyBorder="1" applyAlignment="1">
      <alignment horizontal="center" vertical="center"/>
    </xf>
    <xf numFmtId="0" fontId="7" fillId="8" borderId="7" xfId="0" applyFont="1" applyFill="1" applyBorder="1" applyAlignment="1">
      <alignment horizontal="center" vertical="center"/>
    </xf>
    <xf numFmtId="0" fontId="7" fillId="8" borderId="0" xfId="0" applyFont="1" applyFill="1" applyAlignment="1">
      <alignment horizontal="center" vertical="center"/>
    </xf>
    <xf numFmtId="0" fontId="3" fillId="6" borderId="7" xfId="0" applyFont="1" applyFill="1" applyBorder="1" applyAlignment="1">
      <alignment horizontal="center" vertical="center"/>
    </xf>
    <xf numFmtId="0" fontId="3" fillId="6" borderId="0" xfId="0" applyFont="1" applyFill="1" applyAlignment="1">
      <alignment horizontal="center" vertical="center"/>
    </xf>
    <xf numFmtId="0" fontId="4" fillId="8" borderId="1" xfId="0" applyFont="1" applyFill="1" applyBorder="1" applyAlignment="1">
      <alignment horizontal="center" vertical="center"/>
    </xf>
    <xf numFmtId="0" fontId="8" fillId="8" borderId="6" xfId="0" applyFont="1" applyFill="1" applyBorder="1" applyAlignment="1">
      <alignment horizontal="center" vertical="center"/>
    </xf>
    <xf numFmtId="0" fontId="0" fillId="0" borderId="0" xfId="0" applyAlignment="1">
      <alignment horizontal="center" vertical="center"/>
    </xf>
    <xf numFmtId="0" fontId="9" fillId="10" borderId="6" xfId="0" applyFont="1" applyFill="1" applyBorder="1" applyAlignment="1">
      <alignment horizontal="center" vertical="center"/>
    </xf>
    <xf numFmtId="0" fontId="9" fillId="10" borderId="8" xfId="0" applyFont="1" applyFill="1" applyBorder="1" applyAlignment="1">
      <alignment horizontal="center" vertical="center"/>
    </xf>
    <xf numFmtId="0" fontId="9" fillId="10" borderId="9" xfId="0" applyFont="1" applyFill="1" applyBorder="1" applyAlignment="1">
      <alignment horizontal="center" vertical="center"/>
    </xf>
    <xf numFmtId="0" fontId="0" fillId="18" borderId="1" xfId="0" applyFill="1" applyBorder="1" applyAlignment="1">
      <alignment horizontal="center" vertical="center" wrapText="1"/>
    </xf>
    <xf numFmtId="0" fontId="6" fillId="18" borderId="1" xfId="0" applyFont="1" applyFill="1" applyBorder="1" applyAlignment="1">
      <alignment horizontal="center" vertical="center" wrapText="1"/>
    </xf>
    <xf numFmtId="0" fontId="6" fillId="15" borderId="1" xfId="0" applyFont="1" applyFill="1" applyBorder="1" applyAlignment="1">
      <alignment horizontal="center" vertical="center" wrapText="1"/>
    </xf>
  </cellXfs>
  <cellStyles count="2">
    <cellStyle name="Normal" xfId="0" builtinId="0"/>
    <cellStyle name="Percent" xfId="1" builtinId="5"/>
  </cellStyles>
  <dxfs count="7">
    <dxf>
      <fill>
        <patternFill patternType="solid">
          <fgColor rgb="FFD9E1F2"/>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26C2-39A2-49B7-ACC1-6A46FE262F89}">
  <dimension ref="A1:M27"/>
  <sheetViews>
    <sheetView tabSelected="1" zoomScale="78" zoomScaleNormal="78" workbookViewId="0">
      <selection activeCell="B4" sqref="B4"/>
    </sheetView>
  </sheetViews>
  <sheetFormatPr defaultColWidth="9.140625" defaultRowHeight="15" x14ac:dyDescent="0.25"/>
  <cols>
    <col min="1" max="1" width="5.85546875" style="2" bestFit="1" customWidth="1"/>
    <col min="2" max="2" width="43.85546875" style="2" bestFit="1" customWidth="1"/>
    <col min="3" max="3" width="16" style="2" customWidth="1"/>
    <col min="4" max="4" width="9.42578125" style="2" bestFit="1" customWidth="1"/>
    <col min="5" max="5" width="79.85546875" style="2" customWidth="1"/>
    <col min="6" max="6" width="98" style="2" customWidth="1"/>
    <col min="7" max="7" width="30" style="2" customWidth="1"/>
    <col min="8" max="8" width="14.5703125" style="2" customWidth="1"/>
    <col min="9" max="9" width="24" style="2" customWidth="1"/>
    <col min="10" max="10" width="44.5703125" style="2" customWidth="1"/>
    <col min="11" max="11" width="46.42578125" style="2" customWidth="1"/>
    <col min="12" max="12" width="11.42578125" style="2" customWidth="1"/>
    <col min="13" max="13" width="14.85546875" style="2" customWidth="1"/>
    <col min="14" max="16384" width="9.140625" style="2"/>
  </cols>
  <sheetData>
    <row r="1" spans="1:13" ht="45" x14ac:dyDescent="0.25">
      <c r="A1" s="1" t="s">
        <v>0</v>
      </c>
      <c r="B1" s="1" t="s">
        <v>1</v>
      </c>
      <c r="C1" s="1" t="s">
        <v>2</v>
      </c>
      <c r="D1" s="1" t="s">
        <v>3</v>
      </c>
      <c r="E1" s="1" t="s">
        <v>4</v>
      </c>
      <c r="F1" s="1" t="s">
        <v>5</v>
      </c>
      <c r="G1" s="1" t="s">
        <v>6</v>
      </c>
      <c r="H1" s="1" t="s">
        <v>7</v>
      </c>
      <c r="I1" s="1" t="s">
        <v>8</v>
      </c>
      <c r="J1" s="1" t="s">
        <v>9</v>
      </c>
      <c r="K1" s="1" t="s">
        <v>10</v>
      </c>
      <c r="L1" s="1" t="s">
        <v>11</v>
      </c>
      <c r="M1" s="1" t="s">
        <v>12</v>
      </c>
    </row>
    <row r="2" spans="1:13" ht="18.75" x14ac:dyDescent="0.25">
      <c r="A2" s="45" t="s">
        <v>17</v>
      </c>
      <c r="B2" s="46"/>
      <c r="C2" s="46"/>
      <c r="D2" s="46"/>
      <c r="E2" s="46"/>
      <c r="F2" s="46"/>
      <c r="G2" s="46"/>
      <c r="H2" s="46"/>
      <c r="I2" s="46"/>
      <c r="J2" s="46"/>
      <c r="K2" s="46"/>
      <c r="L2" s="46"/>
      <c r="M2" s="46"/>
    </row>
    <row r="3" spans="1:13" ht="90" x14ac:dyDescent="0.25">
      <c r="A3" s="3" t="s">
        <v>18</v>
      </c>
      <c r="B3" s="4" t="s">
        <v>19</v>
      </c>
      <c r="C3" s="5" t="s">
        <v>20</v>
      </c>
      <c r="D3" s="3" t="s">
        <v>21</v>
      </c>
      <c r="E3" s="3" t="s">
        <v>22</v>
      </c>
      <c r="F3" s="3" t="s">
        <v>23</v>
      </c>
      <c r="G3" s="3" t="s">
        <v>24</v>
      </c>
      <c r="H3" s="3" t="s">
        <v>25</v>
      </c>
      <c r="I3" s="3" t="s">
        <v>26</v>
      </c>
      <c r="J3" s="3" t="s">
        <v>27</v>
      </c>
      <c r="K3" s="3" t="s">
        <v>28</v>
      </c>
      <c r="L3" s="3" t="s">
        <v>29</v>
      </c>
      <c r="M3" s="3">
        <v>2026</v>
      </c>
    </row>
    <row r="4" spans="1:13" ht="30" x14ac:dyDescent="0.25">
      <c r="A4" s="6" t="s">
        <v>31</v>
      </c>
      <c r="B4" s="63" t="s">
        <v>32</v>
      </c>
      <c r="C4" s="8" t="s">
        <v>33</v>
      </c>
      <c r="D4" s="6" t="s">
        <v>21</v>
      </c>
      <c r="E4" s="6" t="s">
        <v>34</v>
      </c>
      <c r="F4" s="6" t="s">
        <v>35</v>
      </c>
      <c r="G4" s="6" t="s">
        <v>36</v>
      </c>
      <c r="H4" s="6" t="s">
        <v>25</v>
      </c>
      <c r="I4" s="6" t="s">
        <v>26</v>
      </c>
      <c r="J4" s="6" t="s">
        <v>37</v>
      </c>
      <c r="K4" s="6" t="s">
        <v>38</v>
      </c>
      <c r="L4" s="6" t="s">
        <v>39</v>
      </c>
      <c r="M4" s="6">
        <v>2026</v>
      </c>
    </row>
    <row r="5" spans="1:13" ht="75" x14ac:dyDescent="0.25">
      <c r="A5" s="3" t="s">
        <v>42</v>
      </c>
      <c r="B5" s="4" t="s">
        <v>43</v>
      </c>
      <c r="C5" s="5" t="s">
        <v>20</v>
      </c>
      <c r="D5" s="3" t="s">
        <v>44</v>
      </c>
      <c r="E5" s="3" t="s">
        <v>45</v>
      </c>
      <c r="F5" s="3" t="s">
        <v>46</v>
      </c>
      <c r="G5" s="3" t="s">
        <v>47</v>
      </c>
      <c r="H5" s="3" t="s">
        <v>25</v>
      </c>
      <c r="I5" s="3" t="s">
        <v>48</v>
      </c>
      <c r="J5" s="3" t="s">
        <v>49</v>
      </c>
      <c r="K5" s="3" t="s">
        <v>50</v>
      </c>
      <c r="L5" s="3" t="s">
        <v>29</v>
      </c>
      <c r="M5" s="3"/>
    </row>
    <row r="6" spans="1:13" ht="30" x14ac:dyDescent="0.25">
      <c r="A6" s="6" t="s">
        <v>51</v>
      </c>
      <c r="B6" s="7" t="s">
        <v>52</v>
      </c>
      <c r="C6" s="8" t="s">
        <v>33</v>
      </c>
      <c r="D6" s="6" t="s">
        <v>44</v>
      </c>
      <c r="E6" s="6" t="s">
        <v>53</v>
      </c>
      <c r="F6" s="6" t="s">
        <v>54</v>
      </c>
      <c r="G6" s="6" t="s">
        <v>55</v>
      </c>
      <c r="H6" s="6" t="s">
        <v>25</v>
      </c>
      <c r="I6" s="6"/>
      <c r="J6" s="6"/>
      <c r="K6" s="6"/>
      <c r="L6" s="6"/>
      <c r="M6" s="6">
        <v>2026</v>
      </c>
    </row>
    <row r="7" spans="1:13" ht="30" x14ac:dyDescent="0.25">
      <c r="A7" s="6" t="s">
        <v>61</v>
      </c>
      <c r="B7" s="7" t="s">
        <v>62</v>
      </c>
      <c r="C7" s="8" t="s">
        <v>33</v>
      </c>
      <c r="D7" s="6" t="s">
        <v>44</v>
      </c>
      <c r="E7" s="6" t="s">
        <v>63</v>
      </c>
      <c r="F7" s="6" t="s">
        <v>64</v>
      </c>
      <c r="G7" s="6" t="s">
        <v>65</v>
      </c>
      <c r="H7" s="6" t="s">
        <v>25</v>
      </c>
      <c r="I7" s="6" t="s">
        <v>66</v>
      </c>
      <c r="J7" s="6" t="s">
        <v>67</v>
      </c>
      <c r="K7" s="6" t="s">
        <v>68</v>
      </c>
      <c r="L7" s="6" t="s">
        <v>39</v>
      </c>
      <c r="M7" s="6">
        <v>2026</v>
      </c>
    </row>
    <row r="8" spans="1:13" ht="30" x14ac:dyDescent="0.25">
      <c r="A8" s="6" t="s">
        <v>70</v>
      </c>
      <c r="B8" s="63" t="s">
        <v>71</v>
      </c>
      <c r="C8" s="8" t="s">
        <v>33</v>
      </c>
      <c r="D8" s="6" t="s">
        <v>44</v>
      </c>
      <c r="E8" s="6" t="s">
        <v>72</v>
      </c>
      <c r="F8" s="6" t="s">
        <v>73</v>
      </c>
      <c r="G8" s="6" t="s">
        <v>74</v>
      </c>
      <c r="H8" s="6" t="s">
        <v>48</v>
      </c>
      <c r="I8" s="6" t="s">
        <v>75</v>
      </c>
      <c r="J8" s="6" t="s">
        <v>76</v>
      </c>
      <c r="K8" s="6" t="s">
        <v>77</v>
      </c>
      <c r="L8" s="6" t="s">
        <v>39</v>
      </c>
      <c r="M8" s="6"/>
    </row>
    <row r="9" spans="1:13" ht="30" x14ac:dyDescent="0.25">
      <c r="A9" s="6" t="s">
        <v>79</v>
      </c>
      <c r="B9" s="7" t="s">
        <v>80</v>
      </c>
      <c r="C9" s="8" t="s">
        <v>33</v>
      </c>
      <c r="D9" s="6" t="s">
        <v>21</v>
      </c>
      <c r="E9" s="6" t="s">
        <v>81</v>
      </c>
      <c r="F9" s="6" t="s">
        <v>82</v>
      </c>
      <c r="G9" s="6" t="s">
        <v>83</v>
      </c>
      <c r="H9" s="6" t="s">
        <v>48</v>
      </c>
      <c r="I9" s="6" t="s">
        <v>84</v>
      </c>
      <c r="J9" s="6" t="s">
        <v>85</v>
      </c>
      <c r="K9" s="6" t="s">
        <v>86</v>
      </c>
      <c r="L9" s="6" t="s">
        <v>39</v>
      </c>
      <c r="M9" s="6"/>
    </row>
    <row r="10" spans="1:13" ht="75" x14ac:dyDescent="0.25">
      <c r="A10" s="3" t="s">
        <v>88</v>
      </c>
      <c r="B10" s="4" t="s">
        <v>89</v>
      </c>
      <c r="C10" s="5" t="s">
        <v>20</v>
      </c>
      <c r="D10" s="3" t="s">
        <v>21</v>
      </c>
      <c r="E10" s="3" t="s">
        <v>90</v>
      </c>
      <c r="F10" s="3" t="s">
        <v>91</v>
      </c>
      <c r="G10" s="3" t="s">
        <v>92</v>
      </c>
      <c r="H10" s="3" t="s">
        <v>93</v>
      </c>
      <c r="I10" s="3" t="s">
        <v>94</v>
      </c>
      <c r="J10" s="3" t="s">
        <v>95</v>
      </c>
      <c r="K10" s="3" t="s">
        <v>96</v>
      </c>
      <c r="L10" s="3" t="s">
        <v>29</v>
      </c>
      <c r="M10" s="3"/>
    </row>
    <row r="11" spans="1:13" ht="30" x14ac:dyDescent="0.25">
      <c r="A11" s="9" t="s">
        <v>97</v>
      </c>
      <c r="B11" s="10" t="s">
        <v>98</v>
      </c>
      <c r="C11" s="11" t="s">
        <v>33</v>
      </c>
      <c r="D11" s="9" t="s">
        <v>21</v>
      </c>
      <c r="E11" s="9" t="s">
        <v>99</v>
      </c>
      <c r="F11" s="9" t="s">
        <v>100</v>
      </c>
      <c r="G11" s="9" t="s">
        <v>101</v>
      </c>
      <c r="H11" s="9" t="s">
        <v>93</v>
      </c>
      <c r="I11" s="9" t="s">
        <v>102</v>
      </c>
      <c r="J11" s="9" t="s">
        <v>103</v>
      </c>
      <c r="K11" s="9" t="s">
        <v>104</v>
      </c>
      <c r="L11" s="9" t="s">
        <v>39</v>
      </c>
      <c r="M11" s="9"/>
    </row>
    <row r="12" spans="1:13" ht="25.5" x14ac:dyDescent="0.25">
      <c r="A12" s="10" t="s">
        <v>105</v>
      </c>
      <c r="B12" s="10" t="s">
        <v>106</v>
      </c>
      <c r="C12" s="11" t="s">
        <v>33</v>
      </c>
      <c r="D12" s="10" t="s">
        <v>44</v>
      </c>
      <c r="E12" s="10" t="s">
        <v>107</v>
      </c>
      <c r="F12" s="10" t="s">
        <v>108</v>
      </c>
      <c r="G12" s="10" t="s">
        <v>109</v>
      </c>
      <c r="H12" s="10" t="s">
        <v>48</v>
      </c>
      <c r="I12" s="10" t="s">
        <v>110</v>
      </c>
      <c r="J12" s="10" t="s">
        <v>111</v>
      </c>
      <c r="K12" s="10" t="s">
        <v>112</v>
      </c>
      <c r="L12" s="10" t="s">
        <v>39</v>
      </c>
      <c r="M12" s="10"/>
    </row>
    <row r="14" spans="1:13" ht="18.75" x14ac:dyDescent="0.25">
      <c r="A14" s="47" t="s">
        <v>116</v>
      </c>
      <c r="B14" s="48"/>
      <c r="C14" s="48"/>
      <c r="D14" s="48"/>
      <c r="E14" s="48"/>
      <c r="F14" s="48"/>
      <c r="G14" s="48"/>
      <c r="H14" s="48"/>
      <c r="I14" s="48"/>
      <c r="J14" s="48"/>
      <c r="K14" s="48"/>
      <c r="L14" s="48"/>
      <c r="M14" s="48"/>
    </row>
    <row r="15" spans="1:13" ht="75" x14ac:dyDescent="0.25">
      <c r="A15" s="3" t="s">
        <v>117</v>
      </c>
      <c r="B15" s="4" t="s">
        <v>118</v>
      </c>
      <c r="C15" s="5" t="s">
        <v>20</v>
      </c>
      <c r="D15" s="3" t="s">
        <v>21</v>
      </c>
      <c r="E15" s="3" t="s">
        <v>119</v>
      </c>
      <c r="F15" s="3" t="s">
        <v>120</v>
      </c>
      <c r="G15" s="3" t="s">
        <v>121</v>
      </c>
      <c r="H15" s="3" t="s">
        <v>25</v>
      </c>
      <c r="I15" s="3" t="s">
        <v>122</v>
      </c>
      <c r="J15" s="3" t="s">
        <v>123</v>
      </c>
      <c r="K15" s="3" t="s">
        <v>124</v>
      </c>
      <c r="L15" s="3" t="s">
        <v>29</v>
      </c>
      <c r="M15" s="3">
        <v>2026</v>
      </c>
    </row>
    <row r="16" spans="1:13" ht="75" x14ac:dyDescent="0.25">
      <c r="A16" s="3" t="s">
        <v>125</v>
      </c>
      <c r="B16" s="4" t="s">
        <v>126</v>
      </c>
      <c r="C16" s="5" t="s">
        <v>20</v>
      </c>
      <c r="D16" s="3" t="s">
        <v>21</v>
      </c>
      <c r="E16" s="3" t="s">
        <v>127</v>
      </c>
      <c r="F16" s="3" t="s">
        <v>128</v>
      </c>
      <c r="G16" s="3" t="s">
        <v>129</v>
      </c>
      <c r="H16" s="3" t="s">
        <v>48</v>
      </c>
      <c r="I16" s="3" t="s">
        <v>130</v>
      </c>
      <c r="J16" s="3" t="s">
        <v>131</v>
      </c>
      <c r="K16" s="3" t="s">
        <v>132</v>
      </c>
      <c r="L16" s="3" t="s">
        <v>29</v>
      </c>
      <c r="M16" s="3"/>
    </row>
    <row r="17" spans="1:13" ht="90" x14ac:dyDescent="0.25">
      <c r="A17" s="3" t="s">
        <v>133</v>
      </c>
      <c r="B17" s="4" t="s">
        <v>134</v>
      </c>
      <c r="C17" s="5" t="s">
        <v>20</v>
      </c>
      <c r="D17" s="3" t="s">
        <v>21</v>
      </c>
      <c r="E17" s="3" t="s">
        <v>135</v>
      </c>
      <c r="F17" s="3" t="s">
        <v>462</v>
      </c>
      <c r="G17" s="3" t="s">
        <v>136</v>
      </c>
      <c r="H17" s="3" t="s">
        <v>93</v>
      </c>
      <c r="I17" s="3" t="s">
        <v>122</v>
      </c>
      <c r="J17" s="3" t="s">
        <v>137</v>
      </c>
      <c r="K17" s="3" t="s">
        <v>138</v>
      </c>
      <c r="L17" s="3" t="s">
        <v>29</v>
      </c>
      <c r="M17" s="3">
        <v>2026</v>
      </c>
    </row>
    <row r="18" spans="1:13" ht="30" x14ac:dyDescent="0.25">
      <c r="A18" s="6" t="s">
        <v>139</v>
      </c>
      <c r="B18" s="7" t="s">
        <v>140</v>
      </c>
      <c r="C18" s="8" t="s">
        <v>33</v>
      </c>
      <c r="D18" s="6" t="s">
        <v>44</v>
      </c>
      <c r="E18" s="6" t="s">
        <v>141</v>
      </c>
      <c r="F18" s="6" t="s">
        <v>142</v>
      </c>
      <c r="G18" s="6" t="s">
        <v>143</v>
      </c>
      <c r="H18" s="6" t="s">
        <v>25</v>
      </c>
      <c r="I18" s="6" t="s">
        <v>144</v>
      </c>
      <c r="J18" s="6" t="s">
        <v>145</v>
      </c>
      <c r="K18" s="6" t="s">
        <v>146</v>
      </c>
      <c r="L18" s="6" t="s">
        <v>39</v>
      </c>
      <c r="M18" s="6"/>
    </row>
    <row r="19" spans="1:13" ht="30" x14ac:dyDescent="0.25">
      <c r="A19" s="6" t="s">
        <v>147</v>
      </c>
      <c r="B19" s="7" t="s">
        <v>148</v>
      </c>
      <c r="C19" s="8" t="s">
        <v>33</v>
      </c>
      <c r="D19" s="6" t="s">
        <v>44</v>
      </c>
      <c r="E19" s="6" t="s">
        <v>149</v>
      </c>
      <c r="F19" s="6" t="s">
        <v>150</v>
      </c>
      <c r="G19" s="6" t="s">
        <v>151</v>
      </c>
      <c r="H19" s="6" t="s">
        <v>48</v>
      </c>
      <c r="I19" s="6" t="s">
        <v>152</v>
      </c>
      <c r="J19" s="6" t="s">
        <v>153</v>
      </c>
      <c r="K19" s="6" t="s">
        <v>154</v>
      </c>
      <c r="L19" s="6" t="s">
        <v>39</v>
      </c>
      <c r="M19" s="6"/>
    </row>
    <row r="20" spans="1:13" ht="30" x14ac:dyDescent="0.25">
      <c r="A20" s="9" t="s">
        <v>156</v>
      </c>
      <c r="B20" s="10" t="s">
        <v>157</v>
      </c>
      <c r="C20" s="11" t="s">
        <v>33</v>
      </c>
      <c r="D20" s="9" t="s">
        <v>21</v>
      </c>
      <c r="E20" s="9" t="s">
        <v>158</v>
      </c>
      <c r="F20" s="9" t="s">
        <v>159</v>
      </c>
      <c r="G20" s="9" t="s">
        <v>160</v>
      </c>
      <c r="H20" s="9" t="s">
        <v>93</v>
      </c>
      <c r="I20" s="9" t="s">
        <v>110</v>
      </c>
      <c r="J20" s="9" t="s">
        <v>161</v>
      </c>
      <c r="K20" s="9" t="s">
        <v>162</v>
      </c>
      <c r="L20" s="9" t="s">
        <v>39</v>
      </c>
      <c r="M20" s="9">
        <v>2026</v>
      </c>
    </row>
    <row r="22" spans="1:13" ht="18.75" x14ac:dyDescent="0.25">
      <c r="A22" s="47" t="s">
        <v>164</v>
      </c>
      <c r="B22" s="48"/>
      <c r="C22" s="48"/>
      <c r="D22" s="48"/>
      <c r="E22" s="48"/>
      <c r="F22" s="48"/>
      <c r="G22" s="48"/>
      <c r="H22" s="48"/>
      <c r="I22" s="48"/>
      <c r="J22" s="48"/>
      <c r="K22" s="48"/>
      <c r="L22" s="48"/>
      <c r="M22" s="48"/>
    </row>
    <row r="23" spans="1:13" ht="30" x14ac:dyDescent="0.25">
      <c r="A23" s="6" t="s">
        <v>165</v>
      </c>
      <c r="B23" s="7" t="s">
        <v>166</v>
      </c>
      <c r="C23" s="8" t="s">
        <v>33</v>
      </c>
      <c r="D23" s="6" t="s">
        <v>21</v>
      </c>
      <c r="E23" s="6" t="s">
        <v>167</v>
      </c>
      <c r="F23" s="6" t="s">
        <v>168</v>
      </c>
      <c r="G23" s="6" t="s">
        <v>160</v>
      </c>
      <c r="H23" s="6" t="s">
        <v>93</v>
      </c>
      <c r="I23" s="6" t="s">
        <v>110</v>
      </c>
      <c r="J23" s="6" t="s">
        <v>169</v>
      </c>
      <c r="K23" s="6" t="s">
        <v>170</v>
      </c>
      <c r="L23" s="6" t="s">
        <v>39</v>
      </c>
      <c r="M23" s="6">
        <v>2026</v>
      </c>
    </row>
    <row r="24" spans="1:13" customFormat="1" ht="30" x14ac:dyDescent="0.25">
      <c r="A24" s="12" t="s">
        <v>171</v>
      </c>
      <c r="B24" s="13" t="s">
        <v>172</v>
      </c>
      <c r="C24" s="14" t="s">
        <v>173</v>
      </c>
      <c r="D24" s="15" t="s">
        <v>21</v>
      </c>
      <c r="E24" s="15" t="s">
        <v>174</v>
      </c>
      <c r="F24" s="15" t="s">
        <v>175</v>
      </c>
      <c r="G24" s="15" t="s">
        <v>160</v>
      </c>
      <c r="H24" s="15" t="s">
        <v>25</v>
      </c>
      <c r="I24" s="15" t="s">
        <v>176</v>
      </c>
      <c r="J24" s="16" t="s">
        <v>177</v>
      </c>
      <c r="K24" s="15" t="s">
        <v>178</v>
      </c>
      <c r="L24" s="15" t="s">
        <v>29</v>
      </c>
      <c r="M24" s="15">
        <v>2026</v>
      </c>
    </row>
    <row r="25" spans="1:13" ht="30" x14ac:dyDescent="0.25">
      <c r="A25" s="6" t="s">
        <v>179</v>
      </c>
      <c r="B25" s="7" t="s">
        <v>180</v>
      </c>
      <c r="C25" s="8" t="s">
        <v>33</v>
      </c>
      <c r="D25" s="6" t="s">
        <v>21</v>
      </c>
      <c r="E25" s="6" t="s">
        <v>181</v>
      </c>
      <c r="F25" s="6" t="s">
        <v>182</v>
      </c>
      <c r="G25" s="6" t="s">
        <v>183</v>
      </c>
      <c r="H25" s="6" t="s">
        <v>93</v>
      </c>
      <c r="I25" s="6" t="s">
        <v>110</v>
      </c>
      <c r="J25" s="6" t="s">
        <v>184</v>
      </c>
      <c r="K25" s="6" t="s">
        <v>185</v>
      </c>
      <c r="L25" s="6" t="s">
        <v>39</v>
      </c>
      <c r="M25" s="6">
        <v>2026</v>
      </c>
    </row>
    <row r="26" spans="1:13" ht="30" x14ac:dyDescent="0.25">
      <c r="A26" s="6" t="s">
        <v>186</v>
      </c>
      <c r="B26" s="7" t="s">
        <v>187</v>
      </c>
      <c r="C26" s="8" t="s">
        <v>33</v>
      </c>
      <c r="D26" s="6" t="s">
        <v>21</v>
      </c>
      <c r="E26" s="6" t="s">
        <v>188</v>
      </c>
      <c r="F26" s="6" t="s">
        <v>189</v>
      </c>
      <c r="G26" s="6" t="s">
        <v>190</v>
      </c>
      <c r="H26" s="6" t="s">
        <v>48</v>
      </c>
      <c r="I26" s="6" t="s">
        <v>191</v>
      </c>
      <c r="J26" s="6" t="s">
        <v>192</v>
      </c>
      <c r="K26" s="6" t="s">
        <v>193</v>
      </c>
      <c r="L26" s="6" t="s">
        <v>39</v>
      </c>
      <c r="M26" s="6"/>
    </row>
    <row r="27" spans="1:13" ht="45" x14ac:dyDescent="0.25">
      <c r="A27" s="6" t="s">
        <v>194</v>
      </c>
      <c r="B27" s="7" t="s">
        <v>195</v>
      </c>
      <c r="C27" s="8" t="s">
        <v>33</v>
      </c>
      <c r="D27" s="6" t="s">
        <v>21</v>
      </c>
      <c r="E27" s="6" t="s">
        <v>196</v>
      </c>
      <c r="F27" s="6" t="s">
        <v>197</v>
      </c>
      <c r="G27" s="6" t="s">
        <v>198</v>
      </c>
      <c r="H27" s="6" t="s">
        <v>93</v>
      </c>
      <c r="I27" s="6" t="s">
        <v>110</v>
      </c>
      <c r="J27" s="6" t="s">
        <v>199</v>
      </c>
      <c r="K27" s="6" t="s">
        <v>200</v>
      </c>
      <c r="L27" s="6" t="s">
        <v>39</v>
      </c>
      <c r="M27" s="6">
        <v>2026</v>
      </c>
    </row>
  </sheetData>
  <mergeCells count="3">
    <mergeCell ref="A2:M2"/>
    <mergeCell ref="A14:M14"/>
    <mergeCell ref="A22:M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61FF2-1E6E-4872-A2EE-1D2FFD61B04F}">
  <dimension ref="A1:H39"/>
  <sheetViews>
    <sheetView zoomScale="91" zoomScaleNormal="91" workbookViewId="0">
      <pane ySplit="1" topLeftCell="A35" activePane="bottomLeft" state="frozen"/>
      <selection pane="bottomLeft" activeCell="A39" sqref="A39:H39"/>
    </sheetView>
  </sheetViews>
  <sheetFormatPr defaultColWidth="8.7109375" defaultRowHeight="15" x14ac:dyDescent="0.25"/>
  <cols>
    <col min="1" max="1" width="9.5703125" style="2" bestFit="1" customWidth="1"/>
    <col min="2" max="2" width="11.140625" style="2" bestFit="1" customWidth="1"/>
    <col min="3" max="3" width="32" style="2" bestFit="1" customWidth="1"/>
    <col min="4" max="4" width="9.5703125" style="2" bestFit="1" customWidth="1"/>
    <col min="5" max="5" width="49.7109375" style="2" customWidth="1"/>
    <col min="6" max="6" width="29.85546875" style="2" customWidth="1"/>
    <col min="7" max="7" width="25.28515625" style="2" customWidth="1"/>
    <col min="8" max="8" width="59.85546875" style="2" bestFit="1" customWidth="1"/>
    <col min="9" max="9" width="16.42578125" style="2" bestFit="1" customWidth="1"/>
    <col min="10" max="16384" width="8.7109375" style="2"/>
  </cols>
  <sheetData>
    <row r="1" spans="1:8" ht="30" x14ac:dyDescent="0.25">
      <c r="A1" s="17" t="s">
        <v>201</v>
      </c>
      <c r="B1" s="17" t="s">
        <v>202</v>
      </c>
      <c r="C1" s="17" t="s">
        <v>203</v>
      </c>
      <c r="D1" s="17" t="s">
        <v>204</v>
      </c>
      <c r="E1" s="17" t="s">
        <v>205</v>
      </c>
      <c r="F1" s="17" t="s">
        <v>206</v>
      </c>
      <c r="G1" s="17" t="s">
        <v>12</v>
      </c>
      <c r="H1" s="17" t="s">
        <v>207</v>
      </c>
    </row>
    <row r="2" spans="1:8" ht="18.75" x14ac:dyDescent="0.25">
      <c r="A2" s="55" t="s">
        <v>208</v>
      </c>
      <c r="B2" s="50"/>
      <c r="C2" s="50"/>
      <c r="D2" s="50"/>
      <c r="E2" s="50"/>
      <c r="F2" s="50"/>
      <c r="G2" s="50"/>
      <c r="H2" s="50"/>
    </row>
    <row r="3" spans="1:8" x14ac:dyDescent="0.25">
      <c r="A3" s="49" t="s">
        <v>209</v>
      </c>
      <c r="B3" s="50"/>
      <c r="C3" s="50"/>
      <c r="D3" s="50"/>
      <c r="E3" s="50"/>
      <c r="F3" s="50"/>
      <c r="G3" s="50"/>
      <c r="H3" s="50"/>
    </row>
    <row r="4" spans="1:8" ht="60" x14ac:dyDescent="0.25">
      <c r="A4" s="19" t="s">
        <v>18</v>
      </c>
      <c r="B4" s="19" t="s">
        <v>210</v>
      </c>
      <c r="C4" s="20" t="s">
        <v>211</v>
      </c>
      <c r="D4" s="21">
        <v>0.25</v>
      </c>
      <c r="E4" s="61" t="s">
        <v>212</v>
      </c>
      <c r="F4" s="19" t="s">
        <v>213</v>
      </c>
      <c r="G4" s="19">
        <v>2026</v>
      </c>
      <c r="H4" s="29" t="s">
        <v>214</v>
      </c>
    </row>
    <row r="5" spans="1:8" ht="45" x14ac:dyDescent="0.25">
      <c r="A5" s="19" t="s">
        <v>18</v>
      </c>
      <c r="B5" s="19" t="s">
        <v>215</v>
      </c>
      <c r="C5" s="20" t="s">
        <v>353</v>
      </c>
      <c r="D5" s="22">
        <v>0.4</v>
      </c>
      <c r="E5" s="19" t="s">
        <v>216</v>
      </c>
      <c r="F5" s="19" t="s">
        <v>213</v>
      </c>
      <c r="G5" s="19">
        <v>2026</v>
      </c>
      <c r="H5" s="29" t="s">
        <v>217</v>
      </c>
    </row>
    <row r="6" spans="1:8" ht="45" x14ac:dyDescent="0.25">
      <c r="A6" s="19" t="s">
        <v>18</v>
      </c>
      <c r="B6" s="19" t="s">
        <v>218</v>
      </c>
      <c r="C6" s="20" t="s">
        <v>219</v>
      </c>
      <c r="D6" s="22">
        <v>0.15</v>
      </c>
      <c r="E6" s="19" t="s">
        <v>220</v>
      </c>
      <c r="F6" s="19" t="s">
        <v>213</v>
      </c>
      <c r="G6" s="19">
        <v>2026</v>
      </c>
      <c r="H6" s="29" t="s">
        <v>222</v>
      </c>
    </row>
    <row r="7" spans="1:8" ht="45" x14ac:dyDescent="0.25">
      <c r="A7" s="19" t="s">
        <v>18</v>
      </c>
      <c r="B7" s="19" t="s">
        <v>223</v>
      </c>
      <c r="C7" s="20" t="s">
        <v>224</v>
      </c>
      <c r="D7" s="22">
        <v>0.2</v>
      </c>
      <c r="E7" s="19" t="s">
        <v>225</v>
      </c>
      <c r="F7" s="19" t="s">
        <v>213</v>
      </c>
      <c r="G7" s="19">
        <v>2026</v>
      </c>
      <c r="H7" s="29" t="s">
        <v>226</v>
      </c>
    </row>
    <row r="9" spans="1:8" x14ac:dyDescent="0.25">
      <c r="A9" s="49" t="s">
        <v>227</v>
      </c>
      <c r="B9" s="50"/>
      <c r="C9" s="50"/>
      <c r="D9" s="50"/>
      <c r="E9" s="50"/>
      <c r="F9" s="50"/>
      <c r="G9" s="50"/>
      <c r="H9" s="50"/>
    </row>
    <row r="10" spans="1:8" ht="45" x14ac:dyDescent="0.25">
      <c r="A10" s="19" t="s">
        <v>42</v>
      </c>
      <c r="B10" s="19" t="s">
        <v>210</v>
      </c>
      <c r="C10" s="20" t="s">
        <v>228</v>
      </c>
      <c r="D10" s="22" t="s">
        <v>229</v>
      </c>
      <c r="E10" s="19" t="s">
        <v>230</v>
      </c>
      <c r="F10" s="19" t="s">
        <v>231</v>
      </c>
      <c r="G10" s="19">
        <v>2026</v>
      </c>
      <c r="H10" s="29" t="s">
        <v>235</v>
      </c>
    </row>
    <row r="11" spans="1:8" ht="45" x14ac:dyDescent="0.25">
      <c r="A11" s="19" t="s">
        <v>42</v>
      </c>
      <c r="B11" s="19" t="s">
        <v>215</v>
      </c>
      <c r="C11" s="20" t="s">
        <v>236</v>
      </c>
      <c r="D11" s="22" t="s">
        <v>237</v>
      </c>
      <c r="E11" s="19" t="s">
        <v>238</v>
      </c>
      <c r="F11" s="19" t="s">
        <v>239</v>
      </c>
      <c r="G11" s="19">
        <v>2026</v>
      </c>
      <c r="H11" s="29" t="s">
        <v>240</v>
      </c>
    </row>
    <row r="12" spans="1:8" ht="45" x14ac:dyDescent="0.25">
      <c r="A12" s="19" t="s">
        <v>42</v>
      </c>
      <c r="B12" s="19" t="s">
        <v>218</v>
      </c>
      <c r="C12" s="62" t="s">
        <v>460</v>
      </c>
      <c r="D12" s="22" t="s">
        <v>241</v>
      </c>
      <c r="E12" s="61" t="s">
        <v>242</v>
      </c>
      <c r="F12" s="19" t="s">
        <v>243</v>
      </c>
      <c r="G12" s="19">
        <v>2026</v>
      </c>
      <c r="H12" s="29" t="s">
        <v>244</v>
      </c>
    </row>
    <row r="14" spans="1:8" x14ac:dyDescent="0.25">
      <c r="A14" s="49" t="s">
        <v>245</v>
      </c>
      <c r="B14" s="50"/>
      <c r="C14" s="50"/>
      <c r="D14" s="50"/>
      <c r="E14" s="50"/>
      <c r="F14" s="50"/>
      <c r="G14" s="50"/>
      <c r="H14" s="50"/>
    </row>
    <row r="15" spans="1:8" ht="45" x14ac:dyDescent="0.25">
      <c r="A15" s="19" t="s">
        <v>88</v>
      </c>
      <c r="B15" s="19" t="s">
        <v>210</v>
      </c>
      <c r="C15" s="20" t="s">
        <v>246</v>
      </c>
      <c r="D15" s="19" t="s">
        <v>247</v>
      </c>
      <c r="E15" s="19" t="s">
        <v>248</v>
      </c>
      <c r="F15" s="19" t="s">
        <v>92</v>
      </c>
      <c r="G15" s="19">
        <v>2026</v>
      </c>
      <c r="H15" s="29" t="s">
        <v>249</v>
      </c>
    </row>
    <row r="16" spans="1:8" ht="45" x14ac:dyDescent="0.25">
      <c r="A16" s="19" t="s">
        <v>88</v>
      </c>
      <c r="B16" s="19" t="s">
        <v>215</v>
      </c>
      <c r="C16" s="62" t="s">
        <v>375</v>
      </c>
      <c r="D16" s="19" t="s">
        <v>250</v>
      </c>
      <c r="E16" s="61" t="s">
        <v>251</v>
      </c>
      <c r="F16" s="19" t="s">
        <v>252</v>
      </c>
      <c r="G16" s="19">
        <v>2026</v>
      </c>
      <c r="H16" s="29" t="s">
        <v>253</v>
      </c>
    </row>
    <row r="18" spans="1:8" ht="18.75" x14ac:dyDescent="0.25">
      <c r="A18" s="55" t="s">
        <v>254</v>
      </c>
      <c r="B18" s="50"/>
      <c r="C18" s="50"/>
      <c r="D18" s="50"/>
      <c r="E18" s="50"/>
      <c r="F18" s="50"/>
      <c r="G18" s="50"/>
      <c r="H18" s="50"/>
    </row>
    <row r="19" spans="1:8" x14ac:dyDescent="0.25">
      <c r="A19" s="49" t="s">
        <v>255</v>
      </c>
      <c r="B19" s="50"/>
      <c r="C19" s="50"/>
      <c r="D19" s="50"/>
      <c r="E19" s="50"/>
      <c r="F19" s="50"/>
      <c r="G19" s="50"/>
      <c r="H19" s="50"/>
    </row>
    <row r="20" spans="1:8" ht="45" x14ac:dyDescent="0.25">
      <c r="A20" s="19" t="s">
        <v>117</v>
      </c>
      <c r="B20" s="19" t="s">
        <v>210</v>
      </c>
      <c r="C20" s="20" t="s">
        <v>454</v>
      </c>
      <c r="D20" s="19" t="s">
        <v>256</v>
      </c>
      <c r="E20" s="19" t="s">
        <v>257</v>
      </c>
      <c r="F20" s="19" t="s">
        <v>121</v>
      </c>
      <c r="G20" s="19">
        <v>2026</v>
      </c>
      <c r="H20" s="29" t="s">
        <v>258</v>
      </c>
    </row>
    <row r="21" spans="1:8" ht="45" x14ac:dyDescent="0.25">
      <c r="A21" s="19" t="s">
        <v>117</v>
      </c>
      <c r="B21" s="19" t="s">
        <v>215</v>
      </c>
      <c r="C21" s="20" t="s">
        <v>259</v>
      </c>
      <c r="D21" s="19" t="s">
        <v>237</v>
      </c>
      <c r="E21" s="19" t="s">
        <v>260</v>
      </c>
      <c r="F21" s="19" t="s">
        <v>261</v>
      </c>
      <c r="G21" s="19">
        <v>2026</v>
      </c>
      <c r="H21" s="29" t="s">
        <v>262</v>
      </c>
    </row>
    <row r="23" spans="1:8" x14ac:dyDescent="0.25">
      <c r="A23" s="49" t="s">
        <v>263</v>
      </c>
      <c r="B23" s="50"/>
      <c r="C23" s="50"/>
      <c r="D23" s="50"/>
      <c r="E23" s="50"/>
      <c r="F23" s="50"/>
      <c r="G23" s="50"/>
      <c r="H23" s="50"/>
    </row>
    <row r="24" spans="1:8" ht="45" x14ac:dyDescent="0.25">
      <c r="A24" s="19" t="s">
        <v>125</v>
      </c>
      <c r="B24" s="19" t="s">
        <v>210</v>
      </c>
      <c r="C24" s="20" t="s">
        <v>264</v>
      </c>
      <c r="D24" s="19" t="s">
        <v>250</v>
      </c>
      <c r="E24" s="19" t="s">
        <v>265</v>
      </c>
      <c r="F24" s="19" t="s">
        <v>129</v>
      </c>
      <c r="G24" s="19">
        <v>2026</v>
      </c>
      <c r="H24" s="29" t="s">
        <v>266</v>
      </c>
    </row>
    <row r="25" spans="1:8" ht="45" x14ac:dyDescent="0.25">
      <c r="A25" s="19" t="s">
        <v>125</v>
      </c>
      <c r="B25" s="19" t="s">
        <v>215</v>
      </c>
      <c r="C25" s="20" t="s">
        <v>267</v>
      </c>
      <c r="D25" s="19" t="s">
        <v>237</v>
      </c>
      <c r="E25" s="19" t="s">
        <v>268</v>
      </c>
      <c r="F25" s="19" t="s">
        <v>269</v>
      </c>
      <c r="G25" s="19">
        <v>2026</v>
      </c>
      <c r="H25" s="29" t="s">
        <v>270</v>
      </c>
    </row>
    <row r="26" spans="1:8" ht="45" x14ac:dyDescent="0.25">
      <c r="A26" s="19" t="s">
        <v>125</v>
      </c>
      <c r="B26" s="19" t="s">
        <v>218</v>
      </c>
      <c r="C26" s="20" t="s">
        <v>271</v>
      </c>
      <c r="D26" s="19" t="s">
        <v>237</v>
      </c>
      <c r="E26" s="19" t="s">
        <v>272</v>
      </c>
      <c r="F26" s="19" t="s">
        <v>273</v>
      </c>
      <c r="G26" s="19">
        <v>2026</v>
      </c>
      <c r="H26" s="29" t="s">
        <v>274</v>
      </c>
    </row>
    <row r="28" spans="1:8" x14ac:dyDescent="0.25">
      <c r="A28" s="49" t="s">
        <v>275</v>
      </c>
      <c r="B28" s="50"/>
      <c r="C28" s="50"/>
      <c r="D28" s="50"/>
      <c r="E28" s="50"/>
      <c r="F28" s="50"/>
      <c r="G28" s="50"/>
      <c r="H28" s="50"/>
    </row>
    <row r="29" spans="1:8" ht="45" x14ac:dyDescent="0.25">
      <c r="A29" s="19" t="s">
        <v>133</v>
      </c>
      <c r="B29" s="19" t="s">
        <v>210</v>
      </c>
      <c r="C29" s="20" t="s">
        <v>397</v>
      </c>
      <c r="D29" s="22">
        <v>0.35</v>
      </c>
      <c r="E29" s="19" t="s">
        <v>276</v>
      </c>
      <c r="F29" s="19" t="s">
        <v>136</v>
      </c>
      <c r="G29" s="19">
        <v>2026</v>
      </c>
      <c r="H29" s="29" t="s">
        <v>277</v>
      </c>
    </row>
    <row r="30" spans="1:8" ht="45" x14ac:dyDescent="0.25">
      <c r="A30" s="19" t="s">
        <v>133</v>
      </c>
      <c r="B30" s="19" t="s">
        <v>215</v>
      </c>
      <c r="C30" s="20" t="s">
        <v>278</v>
      </c>
      <c r="D30" s="22">
        <v>0.35</v>
      </c>
      <c r="E30" s="19" t="s">
        <v>279</v>
      </c>
      <c r="F30" s="19" t="s">
        <v>273</v>
      </c>
      <c r="G30" s="19">
        <v>2026</v>
      </c>
      <c r="H30" s="29" t="s">
        <v>280</v>
      </c>
    </row>
    <row r="31" spans="1:8" ht="45" x14ac:dyDescent="0.25">
      <c r="A31" s="19" t="s">
        <v>133</v>
      </c>
      <c r="B31" s="20">
        <v>3</v>
      </c>
      <c r="C31" s="20" t="s">
        <v>461</v>
      </c>
      <c r="D31" s="22">
        <v>0.3</v>
      </c>
      <c r="E31" s="19" t="s">
        <v>437</v>
      </c>
      <c r="F31" s="19" t="s">
        <v>273</v>
      </c>
      <c r="G31" s="19">
        <v>2026</v>
      </c>
      <c r="H31" s="29" t="s">
        <v>436</v>
      </c>
    </row>
    <row r="33" spans="1:8" ht="17.25" x14ac:dyDescent="0.25">
      <c r="A33" s="51" t="s">
        <v>281</v>
      </c>
      <c r="B33" s="52"/>
      <c r="C33" s="52"/>
      <c r="D33" s="52"/>
      <c r="E33" s="52"/>
      <c r="F33" s="52"/>
      <c r="G33" s="52"/>
      <c r="H33" s="52"/>
    </row>
    <row r="34" spans="1:8" x14ac:dyDescent="0.25">
      <c r="A34" s="53" t="s">
        <v>282</v>
      </c>
      <c r="B34" s="54"/>
      <c r="C34" s="54"/>
      <c r="D34" s="54"/>
      <c r="E34" s="54"/>
      <c r="F34" s="54"/>
      <c r="G34" s="54"/>
      <c r="H34" s="54"/>
    </row>
    <row r="35" spans="1:8" ht="60" x14ac:dyDescent="0.25">
      <c r="A35" s="19" t="s">
        <v>171</v>
      </c>
      <c r="B35" s="19" t="s">
        <v>210</v>
      </c>
      <c r="C35" s="19" t="s">
        <v>408</v>
      </c>
      <c r="D35" s="19" t="s">
        <v>237</v>
      </c>
      <c r="E35" s="19" t="s">
        <v>283</v>
      </c>
      <c r="F35" s="19" t="s">
        <v>160</v>
      </c>
      <c r="G35" s="19">
        <v>2026</v>
      </c>
      <c r="H35" s="29" t="s">
        <v>284</v>
      </c>
    </row>
    <row r="36" spans="1:8" ht="45" x14ac:dyDescent="0.25">
      <c r="A36" s="19" t="s">
        <v>171</v>
      </c>
      <c r="B36" s="19" t="s">
        <v>215</v>
      </c>
      <c r="C36" s="19" t="s">
        <v>285</v>
      </c>
      <c r="D36" s="19" t="s">
        <v>241</v>
      </c>
      <c r="E36" s="19" t="s">
        <v>286</v>
      </c>
      <c r="F36" s="19" t="s">
        <v>160</v>
      </c>
      <c r="G36" s="19">
        <v>2026</v>
      </c>
      <c r="H36" s="29" t="s">
        <v>287</v>
      </c>
    </row>
    <row r="37" spans="1:8" ht="60" x14ac:dyDescent="0.25">
      <c r="A37" s="19" t="s">
        <v>171</v>
      </c>
      <c r="B37" s="19" t="s">
        <v>218</v>
      </c>
      <c r="C37" s="19" t="s">
        <v>417</v>
      </c>
      <c r="D37" s="19" t="s">
        <v>241</v>
      </c>
      <c r="E37" s="19" t="s">
        <v>288</v>
      </c>
      <c r="F37" s="19" t="s">
        <v>183</v>
      </c>
      <c r="G37" s="19">
        <v>2026</v>
      </c>
      <c r="H37" s="29" t="s">
        <v>291</v>
      </c>
    </row>
    <row r="38" spans="1:8" ht="45" x14ac:dyDescent="0.25">
      <c r="A38" s="19" t="s">
        <v>171</v>
      </c>
      <c r="B38" s="19" t="s">
        <v>223</v>
      </c>
      <c r="C38" s="19" t="s">
        <v>424</v>
      </c>
      <c r="D38" s="19" t="s">
        <v>292</v>
      </c>
      <c r="E38" s="19" t="s">
        <v>293</v>
      </c>
      <c r="F38" s="19" t="s">
        <v>160</v>
      </c>
      <c r="G38" s="19">
        <v>2026</v>
      </c>
      <c r="H38" s="29" t="s">
        <v>294</v>
      </c>
    </row>
    <row r="39" spans="1:8" ht="45" x14ac:dyDescent="0.25">
      <c r="A39" s="19" t="s">
        <v>171</v>
      </c>
      <c r="B39" s="19" t="s">
        <v>295</v>
      </c>
      <c r="C39" s="19" t="s">
        <v>296</v>
      </c>
      <c r="D39" s="19" t="s">
        <v>292</v>
      </c>
      <c r="E39" s="19" t="s">
        <v>297</v>
      </c>
      <c r="F39" s="19" t="s">
        <v>183</v>
      </c>
      <c r="G39" s="19">
        <v>2026</v>
      </c>
      <c r="H39" s="29" t="s">
        <v>298</v>
      </c>
    </row>
  </sheetData>
  <mergeCells count="10">
    <mergeCell ref="A23:H23"/>
    <mergeCell ref="A28:H28"/>
    <mergeCell ref="A33:H33"/>
    <mergeCell ref="A34:H34"/>
    <mergeCell ref="A2:H2"/>
    <mergeCell ref="A3:H3"/>
    <mergeCell ref="A9:H9"/>
    <mergeCell ref="A14:H14"/>
    <mergeCell ref="A18:H18"/>
    <mergeCell ref="A19:H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5386-222E-431E-BDDC-A1B100075CD1}">
  <dimension ref="A1:I16"/>
  <sheetViews>
    <sheetView zoomScale="93" zoomScaleNormal="93" workbookViewId="0">
      <selection activeCell="D22" sqref="D22"/>
    </sheetView>
  </sheetViews>
  <sheetFormatPr defaultColWidth="8.7109375" defaultRowHeight="15" x14ac:dyDescent="0.25"/>
  <cols>
    <col min="1" max="1" width="27.7109375" style="2" bestFit="1" customWidth="1"/>
    <col min="2" max="2" width="33.140625" style="2" bestFit="1" customWidth="1"/>
    <col min="3" max="3" width="23.85546875" style="2" bestFit="1" customWidth="1"/>
    <col min="4" max="4" width="45.28515625" style="2" bestFit="1" customWidth="1"/>
    <col min="5" max="5" width="13.140625" style="2" customWidth="1"/>
    <col min="6" max="6" width="67" style="2" bestFit="1" customWidth="1"/>
    <col min="7" max="7" width="13.85546875" style="2" bestFit="1" customWidth="1"/>
    <col min="8" max="8" width="13.140625" style="2" bestFit="1" customWidth="1"/>
    <col min="9" max="9" width="22.140625" style="2" bestFit="1" customWidth="1"/>
    <col min="10" max="16384" width="8.7109375" style="2"/>
  </cols>
  <sheetData>
    <row r="1" spans="1:9" ht="21" x14ac:dyDescent="0.25">
      <c r="A1" s="56" t="s">
        <v>299</v>
      </c>
      <c r="B1" s="57"/>
      <c r="C1" s="57"/>
      <c r="D1" s="57"/>
      <c r="E1" s="57"/>
      <c r="F1" s="57"/>
      <c r="G1" s="57"/>
      <c r="H1" s="57"/>
      <c r="I1" s="57"/>
    </row>
    <row r="3" spans="1:9" ht="15.75" x14ac:dyDescent="0.25">
      <c r="A3" s="58" t="s">
        <v>300</v>
      </c>
      <c r="B3" s="57"/>
      <c r="C3" s="57"/>
      <c r="D3" s="57"/>
      <c r="E3" s="57"/>
      <c r="F3" s="57"/>
      <c r="G3" s="57"/>
      <c r="H3" s="57"/>
      <c r="I3" s="57"/>
    </row>
    <row r="4" spans="1:9" ht="30" x14ac:dyDescent="0.25">
      <c r="A4" s="23" t="s">
        <v>0</v>
      </c>
      <c r="B4" s="23" t="s">
        <v>1</v>
      </c>
      <c r="C4" s="23" t="s">
        <v>301</v>
      </c>
      <c r="D4" s="23" t="s">
        <v>302</v>
      </c>
      <c r="E4" s="23" t="s">
        <v>303</v>
      </c>
      <c r="F4" s="23" t="s">
        <v>304</v>
      </c>
      <c r="G4" s="23" t="s">
        <v>305</v>
      </c>
      <c r="H4" s="23" t="s">
        <v>306</v>
      </c>
      <c r="I4" s="23" t="s">
        <v>307</v>
      </c>
    </row>
    <row r="5" spans="1:9" ht="45" x14ac:dyDescent="0.25">
      <c r="A5" s="24" t="s">
        <v>18</v>
      </c>
      <c r="B5" s="13" t="s">
        <v>19</v>
      </c>
      <c r="C5" s="24" t="s">
        <v>308</v>
      </c>
      <c r="D5" s="24" t="s">
        <v>309</v>
      </c>
      <c r="E5" s="24" t="s">
        <v>310</v>
      </c>
      <c r="F5" s="24" t="s">
        <v>311</v>
      </c>
      <c r="G5" s="24" t="s">
        <v>312</v>
      </c>
      <c r="H5" s="24" t="s">
        <v>313</v>
      </c>
      <c r="I5" s="24" t="s">
        <v>314</v>
      </c>
    </row>
    <row r="6" spans="1:9" ht="30" x14ac:dyDescent="0.25">
      <c r="A6" s="24" t="s">
        <v>42</v>
      </c>
      <c r="B6" s="13" t="s">
        <v>43</v>
      </c>
      <c r="C6" s="24" t="s">
        <v>308</v>
      </c>
      <c r="D6" s="24" t="s">
        <v>315</v>
      </c>
      <c r="E6" s="24" t="s">
        <v>316</v>
      </c>
      <c r="F6" s="24" t="s">
        <v>317</v>
      </c>
      <c r="G6" s="24" t="s">
        <v>312</v>
      </c>
      <c r="H6" s="24" t="s">
        <v>318</v>
      </c>
      <c r="I6" s="24" t="s">
        <v>319</v>
      </c>
    </row>
    <row r="7" spans="1:9" ht="45" x14ac:dyDescent="0.25">
      <c r="A7" s="24" t="s">
        <v>79</v>
      </c>
      <c r="B7" s="13" t="s">
        <v>172</v>
      </c>
      <c r="C7" s="24" t="s">
        <v>110</v>
      </c>
      <c r="D7" s="24" t="s">
        <v>320</v>
      </c>
      <c r="E7" s="24" t="s">
        <v>321</v>
      </c>
      <c r="F7" s="24" t="s">
        <v>322</v>
      </c>
      <c r="G7" s="24" t="s">
        <v>312</v>
      </c>
      <c r="H7" s="24" t="s">
        <v>313</v>
      </c>
      <c r="I7" s="24" t="s">
        <v>323</v>
      </c>
    </row>
    <row r="8" spans="1:9" ht="45" x14ac:dyDescent="0.25">
      <c r="A8" s="24" t="s">
        <v>117</v>
      </c>
      <c r="B8" s="13" t="s">
        <v>324</v>
      </c>
      <c r="C8" s="24" t="s">
        <v>325</v>
      </c>
      <c r="D8" s="24" t="s">
        <v>326</v>
      </c>
      <c r="E8" s="24" t="s">
        <v>327</v>
      </c>
      <c r="F8" s="24" t="s">
        <v>328</v>
      </c>
      <c r="G8" s="24" t="s">
        <v>312</v>
      </c>
      <c r="H8" s="24" t="s">
        <v>329</v>
      </c>
      <c r="I8" s="24" t="s">
        <v>330</v>
      </c>
    </row>
    <row r="9" spans="1:9" ht="45" x14ac:dyDescent="0.25">
      <c r="A9" s="24" t="s">
        <v>194</v>
      </c>
      <c r="B9" s="13" t="s">
        <v>444</v>
      </c>
      <c r="C9" s="24" t="s">
        <v>110</v>
      </c>
      <c r="D9" s="24" t="s">
        <v>331</v>
      </c>
      <c r="E9" s="24" t="s">
        <v>445</v>
      </c>
      <c r="F9" s="24" t="s">
        <v>332</v>
      </c>
      <c r="G9" s="24" t="s">
        <v>312</v>
      </c>
      <c r="H9" s="24" t="s">
        <v>333</v>
      </c>
      <c r="I9" s="24" t="s">
        <v>334</v>
      </c>
    </row>
    <row r="11" spans="1:9" ht="15.75" x14ac:dyDescent="0.25">
      <c r="A11" s="59" t="s">
        <v>335</v>
      </c>
      <c r="B11" s="60"/>
      <c r="C11" s="60"/>
      <c r="D11" s="60"/>
      <c r="E11" s="60"/>
      <c r="F11" s="60"/>
    </row>
    <row r="12" spans="1:9" x14ac:dyDescent="0.25">
      <c r="A12" s="25" t="s">
        <v>301</v>
      </c>
      <c r="B12" s="25" t="s">
        <v>336</v>
      </c>
      <c r="C12" s="25" t="s">
        <v>337</v>
      </c>
      <c r="D12" s="25" t="s">
        <v>115</v>
      </c>
      <c r="E12" s="25" t="s">
        <v>338</v>
      </c>
      <c r="F12" s="25" t="s">
        <v>339</v>
      </c>
    </row>
    <row r="13" spans="1:9" x14ac:dyDescent="0.25">
      <c r="A13" s="26" t="s">
        <v>340</v>
      </c>
      <c r="B13" s="26">
        <v>3</v>
      </c>
      <c r="C13" s="26">
        <v>5</v>
      </c>
      <c r="D13" s="26">
        <v>0</v>
      </c>
      <c r="E13" s="26">
        <v>8</v>
      </c>
      <c r="F13" s="26" t="s">
        <v>341</v>
      </c>
    </row>
    <row r="14" spans="1:9" x14ac:dyDescent="0.25">
      <c r="A14" s="26" t="s">
        <v>342</v>
      </c>
      <c r="B14" s="26">
        <v>3</v>
      </c>
      <c r="C14" s="26">
        <v>3</v>
      </c>
      <c r="D14" s="26">
        <v>0</v>
      </c>
      <c r="E14" s="26">
        <v>6</v>
      </c>
      <c r="F14" s="26">
        <v>8</v>
      </c>
    </row>
    <row r="15" spans="1:9" x14ac:dyDescent="0.25">
      <c r="A15" s="27" t="s">
        <v>343</v>
      </c>
      <c r="B15" s="27">
        <v>1</v>
      </c>
      <c r="C15" s="27">
        <v>9</v>
      </c>
      <c r="D15" s="27">
        <v>1</v>
      </c>
      <c r="E15" s="27">
        <v>11</v>
      </c>
      <c r="F15" s="27" t="s">
        <v>295</v>
      </c>
    </row>
    <row r="16" spans="1:9" x14ac:dyDescent="0.25">
      <c r="A16" s="26" t="s">
        <v>344</v>
      </c>
      <c r="B16" s="26">
        <f>SUM(B13:B15)</f>
        <v>7</v>
      </c>
      <c r="C16" s="26">
        <f>SUM(C13:C15)</f>
        <v>17</v>
      </c>
      <c r="D16" s="26">
        <f>SUM(D13:D15)</f>
        <v>1</v>
      </c>
      <c r="E16" s="26">
        <f>SUM(E13:E15)</f>
        <v>25</v>
      </c>
      <c r="F16" s="26">
        <f>SUM(F13:F15)</f>
        <v>8</v>
      </c>
    </row>
  </sheetData>
  <mergeCells count="3">
    <mergeCell ref="A1:I1"/>
    <mergeCell ref="A3:I3"/>
    <mergeCell ref="A11: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38C2-CD7D-4350-9F25-66C23A2233C7}">
  <dimension ref="A1:T38"/>
  <sheetViews>
    <sheetView zoomScale="91" zoomScaleNormal="91" workbookViewId="0">
      <pane ySplit="1" topLeftCell="A3" activePane="bottomLeft" state="frozen"/>
      <selection activeCell="H1" sqref="H1"/>
      <selection pane="bottomLeft" sqref="A1:XFD1048576"/>
    </sheetView>
  </sheetViews>
  <sheetFormatPr defaultColWidth="31.5703125" defaultRowHeight="15" x14ac:dyDescent="0.25"/>
  <cols>
    <col min="1" max="1" width="3.42578125" style="2" bestFit="1" customWidth="1"/>
    <col min="2" max="2" width="31.42578125" style="2" bestFit="1" customWidth="1"/>
    <col min="3" max="3" width="9.85546875" style="2" bestFit="1" customWidth="1"/>
    <col min="4" max="4" width="87.85546875" style="2" bestFit="1" customWidth="1"/>
    <col min="5" max="5" width="79.42578125" style="2" bestFit="1" customWidth="1"/>
    <col min="6" max="6" width="30.42578125" style="2" bestFit="1" customWidth="1"/>
    <col min="7" max="7" width="17.7109375" style="2" bestFit="1" customWidth="1"/>
    <col min="8" max="8" width="23.140625" style="2" bestFit="1" customWidth="1"/>
    <col min="9" max="9" width="78.85546875" style="2" bestFit="1" customWidth="1"/>
    <col min="10" max="10" width="63.28515625" style="2" bestFit="1" customWidth="1"/>
    <col min="11" max="11" width="17.85546875" style="37" bestFit="1" customWidth="1"/>
    <col min="12" max="12" width="15" style="37" bestFit="1" customWidth="1"/>
    <col min="13" max="13" width="10.42578125" style="37" bestFit="1" customWidth="1"/>
    <col min="14" max="14" width="18" style="37" bestFit="1" customWidth="1"/>
    <col min="15" max="15" width="17.7109375" style="37" bestFit="1" customWidth="1"/>
    <col min="16" max="17" width="24.85546875" style="37" bestFit="1" customWidth="1"/>
    <col min="18" max="18" width="21.42578125" style="37" bestFit="1" customWidth="1"/>
    <col min="19" max="19" width="25" style="37" bestFit="1" customWidth="1"/>
    <col min="20" max="20" width="40" style="2" bestFit="1" customWidth="1"/>
    <col min="21" max="16384" width="31.5703125" style="2"/>
  </cols>
  <sheetData>
    <row r="1" spans="1:20" ht="45.95" customHeight="1" x14ac:dyDescent="0.25">
      <c r="A1" s="28" t="s">
        <v>0</v>
      </c>
      <c r="B1" s="28" t="s">
        <v>1</v>
      </c>
      <c r="C1" s="28" t="s">
        <v>3</v>
      </c>
      <c r="D1" s="28" t="s">
        <v>4</v>
      </c>
      <c r="E1" s="28" t="s">
        <v>5</v>
      </c>
      <c r="F1" s="28" t="s">
        <v>6</v>
      </c>
      <c r="G1" s="28" t="s">
        <v>7</v>
      </c>
      <c r="H1" s="28" t="s">
        <v>8</v>
      </c>
      <c r="I1" s="28" t="s">
        <v>9</v>
      </c>
      <c r="J1" s="28" t="s">
        <v>10</v>
      </c>
      <c r="K1" s="28" t="s">
        <v>345</v>
      </c>
      <c r="L1" s="28" t="s">
        <v>346</v>
      </c>
      <c r="M1" s="28" t="s">
        <v>449</v>
      </c>
      <c r="N1" s="28" t="s">
        <v>13</v>
      </c>
      <c r="O1" s="28" t="s">
        <v>14</v>
      </c>
      <c r="P1" s="28" t="s">
        <v>15</v>
      </c>
      <c r="Q1" s="28" t="s">
        <v>16</v>
      </c>
      <c r="R1" s="28" t="s">
        <v>347</v>
      </c>
      <c r="S1" s="28" t="s">
        <v>348</v>
      </c>
      <c r="T1" s="28" t="s">
        <v>446</v>
      </c>
    </row>
    <row r="2" spans="1:20" ht="45.95" customHeight="1" x14ac:dyDescent="0.25">
      <c r="A2" s="29">
        <v>1</v>
      </c>
      <c r="B2" s="36" t="s">
        <v>32</v>
      </c>
      <c r="C2" s="29" t="s">
        <v>21</v>
      </c>
      <c r="D2" s="29" t="s">
        <v>349</v>
      </c>
      <c r="E2" s="29" t="s">
        <v>35</v>
      </c>
      <c r="F2" s="29" t="s">
        <v>36</v>
      </c>
      <c r="G2" s="36" t="s">
        <v>25</v>
      </c>
      <c r="H2" s="29" t="s">
        <v>26</v>
      </c>
      <c r="I2" s="29" t="s">
        <v>37</v>
      </c>
      <c r="J2" s="29" t="s">
        <v>38</v>
      </c>
      <c r="K2" s="29" t="s">
        <v>39</v>
      </c>
      <c r="L2" s="29"/>
      <c r="M2" s="18" t="s">
        <v>451</v>
      </c>
      <c r="N2" s="43" t="s">
        <v>155</v>
      </c>
      <c r="O2" s="43" t="s">
        <v>155</v>
      </c>
      <c r="P2" s="43" t="s">
        <v>30</v>
      </c>
      <c r="Q2" s="43" t="s">
        <v>442</v>
      </c>
      <c r="R2" s="29" t="s">
        <v>40</v>
      </c>
      <c r="S2" s="29" t="s">
        <v>41</v>
      </c>
      <c r="T2" s="29"/>
    </row>
    <row r="3" spans="1:20" ht="45.95" customHeight="1" x14ac:dyDescent="0.25">
      <c r="A3" s="29">
        <v>2</v>
      </c>
      <c r="B3" s="36" t="s">
        <v>211</v>
      </c>
      <c r="C3" s="29" t="s">
        <v>21</v>
      </c>
      <c r="D3" s="29" t="s">
        <v>448</v>
      </c>
      <c r="E3" s="29" t="s">
        <v>212</v>
      </c>
      <c r="F3" s="29" t="s">
        <v>350</v>
      </c>
      <c r="G3" s="36" t="s">
        <v>93</v>
      </c>
      <c r="H3" s="29" t="s">
        <v>308</v>
      </c>
      <c r="I3" s="29" t="s">
        <v>351</v>
      </c>
      <c r="J3" s="29" t="s">
        <v>352</v>
      </c>
      <c r="K3" s="29" t="s">
        <v>39</v>
      </c>
      <c r="L3" s="29"/>
      <c r="M3" s="18" t="s">
        <v>312</v>
      </c>
      <c r="N3" s="39">
        <v>0.91</v>
      </c>
      <c r="O3" s="39">
        <v>1.2</v>
      </c>
      <c r="P3" s="39">
        <v>1.2</v>
      </c>
      <c r="Q3" s="38">
        <v>1</v>
      </c>
      <c r="R3" s="38" t="s">
        <v>40</v>
      </c>
      <c r="S3" s="38" t="s">
        <v>41</v>
      </c>
      <c r="T3" s="29" t="s">
        <v>447</v>
      </c>
    </row>
    <row r="4" spans="1:20" ht="45.95" customHeight="1" x14ac:dyDescent="0.25">
      <c r="A4" s="29">
        <v>3</v>
      </c>
      <c r="B4" s="36" t="s">
        <v>353</v>
      </c>
      <c r="C4" s="29" t="s">
        <v>21</v>
      </c>
      <c r="D4" s="29" t="s">
        <v>354</v>
      </c>
      <c r="E4" s="29" t="s">
        <v>355</v>
      </c>
      <c r="F4" s="38" t="s">
        <v>183</v>
      </c>
      <c r="G4" s="36" t="s">
        <v>25</v>
      </c>
      <c r="H4" s="29" t="s">
        <v>308</v>
      </c>
      <c r="I4" s="29"/>
      <c r="J4" s="29"/>
      <c r="K4" s="29" t="s">
        <v>39</v>
      </c>
      <c r="L4" s="29"/>
      <c r="M4" s="29" t="s">
        <v>450</v>
      </c>
      <c r="N4" s="38">
        <v>0</v>
      </c>
      <c r="O4" s="40">
        <v>0</v>
      </c>
      <c r="P4" s="40">
        <v>0</v>
      </c>
      <c r="Q4" s="40">
        <v>0</v>
      </c>
      <c r="R4" s="38" t="s">
        <v>69</v>
      </c>
      <c r="S4" s="38" t="s">
        <v>41</v>
      </c>
      <c r="T4" s="29"/>
    </row>
    <row r="5" spans="1:20" ht="45.95" customHeight="1" x14ac:dyDescent="0.25">
      <c r="A5" s="29">
        <v>4</v>
      </c>
      <c r="B5" s="36" t="s">
        <v>71</v>
      </c>
      <c r="C5" s="29" t="s">
        <v>44</v>
      </c>
      <c r="D5" s="29" t="s">
        <v>356</v>
      </c>
      <c r="E5" s="29" t="s">
        <v>73</v>
      </c>
      <c r="F5" s="29" t="s">
        <v>74</v>
      </c>
      <c r="G5" s="36" t="s">
        <v>48</v>
      </c>
      <c r="H5" s="29" t="s">
        <v>75</v>
      </c>
      <c r="I5" s="29" t="s">
        <v>76</v>
      </c>
      <c r="J5" s="29" t="s">
        <v>77</v>
      </c>
      <c r="K5" s="29" t="s">
        <v>39</v>
      </c>
      <c r="L5" s="29"/>
      <c r="M5" s="18" t="s">
        <v>451</v>
      </c>
      <c r="N5" s="43" t="s">
        <v>155</v>
      </c>
      <c r="O5" s="43" t="s">
        <v>30</v>
      </c>
      <c r="P5" s="43" t="s">
        <v>30</v>
      </c>
      <c r="Q5" s="43" t="s">
        <v>30</v>
      </c>
      <c r="R5" s="38" t="s">
        <v>87</v>
      </c>
      <c r="S5" s="38" t="s">
        <v>78</v>
      </c>
      <c r="T5" s="29" t="s">
        <v>452</v>
      </c>
    </row>
    <row r="6" spans="1:20" ht="45.95" customHeight="1" x14ac:dyDescent="0.25">
      <c r="A6" s="29">
        <v>5</v>
      </c>
      <c r="B6" s="36" t="s">
        <v>62</v>
      </c>
      <c r="C6" s="29" t="s">
        <v>44</v>
      </c>
      <c r="D6" s="29" t="s">
        <v>357</v>
      </c>
      <c r="E6" s="29" t="s">
        <v>64</v>
      </c>
      <c r="F6" s="29" t="s">
        <v>109</v>
      </c>
      <c r="G6" s="36" t="s">
        <v>25</v>
      </c>
      <c r="H6" s="29" t="s">
        <v>66</v>
      </c>
      <c r="I6" s="29" t="s">
        <v>67</v>
      </c>
      <c r="J6" s="29" t="s">
        <v>68</v>
      </c>
      <c r="K6" s="29" t="s">
        <v>39</v>
      </c>
      <c r="L6" s="29" t="s">
        <v>358</v>
      </c>
      <c r="M6" s="29" t="s">
        <v>451</v>
      </c>
      <c r="N6" s="41">
        <v>0.94</v>
      </c>
      <c r="O6" s="41">
        <v>0.95</v>
      </c>
      <c r="P6" s="41">
        <v>0.98</v>
      </c>
      <c r="Q6" s="41">
        <v>1</v>
      </c>
      <c r="R6" s="42" t="s">
        <v>69</v>
      </c>
      <c r="S6" s="42" t="s">
        <v>41</v>
      </c>
      <c r="T6" s="29" t="s">
        <v>453</v>
      </c>
    </row>
    <row r="7" spans="1:20" ht="45.95" customHeight="1" x14ac:dyDescent="0.25">
      <c r="A7" s="29">
        <v>6</v>
      </c>
      <c r="B7" s="36" t="s">
        <v>228</v>
      </c>
      <c r="C7" s="29" t="s">
        <v>44</v>
      </c>
      <c r="D7" s="29" t="s">
        <v>359</v>
      </c>
      <c r="E7" s="29" t="s">
        <v>230</v>
      </c>
      <c r="F7" s="29" t="s">
        <v>231</v>
      </c>
      <c r="G7" s="36" t="s">
        <v>48</v>
      </c>
      <c r="H7" s="29" t="s">
        <v>360</v>
      </c>
      <c r="I7" s="29" t="s">
        <v>361</v>
      </c>
      <c r="J7" s="29" t="s">
        <v>362</v>
      </c>
      <c r="K7" s="29" t="s">
        <v>39</v>
      </c>
      <c r="L7" s="29"/>
      <c r="M7" s="29" t="s">
        <v>450</v>
      </c>
      <c r="N7" s="39" t="s">
        <v>232</v>
      </c>
      <c r="O7" s="39" t="s">
        <v>233</v>
      </c>
      <c r="P7" s="39" t="s">
        <v>234</v>
      </c>
      <c r="Q7" s="35" t="s">
        <v>234</v>
      </c>
      <c r="R7" s="38" t="s">
        <v>40</v>
      </c>
      <c r="S7" s="38" t="s">
        <v>41</v>
      </c>
      <c r="T7" s="29"/>
    </row>
    <row r="8" spans="1:20" ht="45.95" customHeight="1" x14ac:dyDescent="0.25">
      <c r="A8" s="29">
        <v>7</v>
      </c>
      <c r="B8" s="36" t="s">
        <v>363</v>
      </c>
      <c r="C8" s="29" t="s">
        <v>44</v>
      </c>
      <c r="D8" s="29" t="s">
        <v>364</v>
      </c>
      <c r="E8" s="29" t="s">
        <v>238</v>
      </c>
      <c r="F8" s="29" t="s">
        <v>239</v>
      </c>
      <c r="G8" s="29" t="s">
        <v>48</v>
      </c>
      <c r="H8" s="29" t="s">
        <v>365</v>
      </c>
      <c r="I8" s="29" t="s">
        <v>366</v>
      </c>
      <c r="J8" s="29" t="s">
        <v>367</v>
      </c>
      <c r="K8" s="29" t="s">
        <v>39</v>
      </c>
      <c r="L8" s="29"/>
      <c r="M8" s="29" t="s">
        <v>312</v>
      </c>
      <c r="N8" s="43" t="s">
        <v>155</v>
      </c>
      <c r="O8" s="43" t="s">
        <v>155</v>
      </c>
      <c r="P8" s="43" t="s">
        <v>30</v>
      </c>
      <c r="Q8" s="43" t="s">
        <v>30</v>
      </c>
      <c r="R8" s="29" t="s">
        <v>87</v>
      </c>
      <c r="S8" s="29" t="s">
        <v>368</v>
      </c>
      <c r="T8" s="29"/>
    </row>
    <row r="9" spans="1:20" ht="45.95" customHeight="1" x14ac:dyDescent="0.25">
      <c r="A9" s="29">
        <v>8</v>
      </c>
      <c r="B9" s="36" t="s">
        <v>219</v>
      </c>
      <c r="C9" s="29" t="s">
        <v>44</v>
      </c>
      <c r="D9" s="29" t="s">
        <v>369</v>
      </c>
      <c r="E9" s="29" t="s">
        <v>220</v>
      </c>
      <c r="F9" s="29" t="s">
        <v>221</v>
      </c>
      <c r="G9" s="29" t="s">
        <v>48</v>
      </c>
      <c r="H9" s="29" t="s">
        <v>370</v>
      </c>
      <c r="I9" s="29" t="s">
        <v>371</v>
      </c>
      <c r="J9" s="29" t="s">
        <v>372</v>
      </c>
      <c r="K9" s="29" t="s">
        <v>39</v>
      </c>
      <c r="L9" s="29"/>
      <c r="M9" s="29" t="s">
        <v>312</v>
      </c>
      <c r="N9" s="43" t="s">
        <v>155</v>
      </c>
      <c r="O9" s="43" t="s">
        <v>30</v>
      </c>
      <c r="P9" s="43" t="s">
        <v>30</v>
      </c>
      <c r="Q9" s="43" t="s">
        <v>30</v>
      </c>
      <c r="R9" s="29" t="s">
        <v>40</v>
      </c>
      <c r="S9" s="29" t="s">
        <v>368</v>
      </c>
      <c r="T9" s="29"/>
    </row>
    <row r="10" spans="1:20" ht="45.95" customHeight="1" x14ac:dyDescent="0.25">
      <c r="A10" s="29">
        <v>9</v>
      </c>
      <c r="B10" s="36" t="s">
        <v>80</v>
      </c>
      <c r="C10" s="29" t="s">
        <v>44</v>
      </c>
      <c r="D10" s="29" t="s">
        <v>373</v>
      </c>
      <c r="E10" s="29" t="s">
        <v>82</v>
      </c>
      <c r="F10" s="29" t="s">
        <v>83</v>
      </c>
      <c r="G10" s="29" t="s">
        <v>48</v>
      </c>
      <c r="H10" s="29" t="s">
        <v>84</v>
      </c>
      <c r="I10" s="29" t="s">
        <v>85</v>
      </c>
      <c r="J10" s="29" t="s">
        <v>86</v>
      </c>
      <c r="K10" s="29" t="s">
        <v>39</v>
      </c>
      <c r="L10" s="29"/>
      <c r="M10" s="29" t="s">
        <v>312</v>
      </c>
      <c r="N10" s="43" t="s">
        <v>155</v>
      </c>
      <c r="O10" s="43" t="s">
        <v>30</v>
      </c>
      <c r="P10" s="43" t="s">
        <v>30</v>
      </c>
      <c r="Q10" s="43" t="s">
        <v>30</v>
      </c>
      <c r="R10" s="29" t="s">
        <v>87</v>
      </c>
      <c r="S10" s="29" t="s">
        <v>41</v>
      </c>
      <c r="T10" s="29" t="s">
        <v>463</v>
      </c>
    </row>
    <row r="11" spans="1:20" ht="45.95" customHeight="1" x14ac:dyDescent="0.25">
      <c r="A11" s="29">
        <v>10</v>
      </c>
      <c r="B11" s="36" t="s">
        <v>246</v>
      </c>
      <c r="C11" s="29" t="s">
        <v>21</v>
      </c>
      <c r="D11" s="29" t="s">
        <v>374</v>
      </c>
      <c r="E11" s="29" t="s">
        <v>248</v>
      </c>
      <c r="F11" s="29" t="s">
        <v>92</v>
      </c>
      <c r="G11" s="36" t="s">
        <v>93</v>
      </c>
      <c r="H11" s="29" t="s">
        <v>94</v>
      </c>
      <c r="I11" s="29" t="s">
        <v>95</v>
      </c>
      <c r="J11" s="29" t="s">
        <v>96</v>
      </c>
      <c r="K11" s="29" t="s">
        <v>39</v>
      </c>
      <c r="L11" s="29"/>
      <c r="M11" s="29" t="s">
        <v>451</v>
      </c>
      <c r="N11" s="43" t="s">
        <v>155</v>
      </c>
      <c r="O11" s="43" t="s">
        <v>30</v>
      </c>
      <c r="P11" s="43" t="s">
        <v>30</v>
      </c>
      <c r="Q11" s="43" t="s">
        <v>30</v>
      </c>
      <c r="R11" s="29" t="s">
        <v>40</v>
      </c>
      <c r="S11" s="29" t="s">
        <v>41</v>
      </c>
      <c r="T11" s="29"/>
    </row>
    <row r="12" spans="1:20" ht="45.95" customHeight="1" x14ac:dyDescent="0.25">
      <c r="A12" s="29">
        <v>11</v>
      </c>
      <c r="B12" s="36" t="s">
        <v>375</v>
      </c>
      <c r="C12" s="29" t="s">
        <v>44</v>
      </c>
      <c r="D12" s="29" t="s">
        <v>376</v>
      </c>
      <c r="E12" s="29" t="s">
        <v>251</v>
      </c>
      <c r="F12" s="29" t="s">
        <v>252</v>
      </c>
      <c r="G12" s="36" t="s">
        <v>25</v>
      </c>
      <c r="H12" s="29" t="s">
        <v>365</v>
      </c>
      <c r="I12" s="29" t="s">
        <v>377</v>
      </c>
      <c r="J12" s="29" t="s">
        <v>378</v>
      </c>
      <c r="K12" s="29" t="s">
        <v>39</v>
      </c>
      <c r="L12" s="29"/>
      <c r="M12" s="29" t="s">
        <v>451</v>
      </c>
      <c r="N12" s="43" t="s">
        <v>155</v>
      </c>
      <c r="O12" s="43" t="s">
        <v>30</v>
      </c>
      <c r="P12" s="43" t="s">
        <v>30</v>
      </c>
      <c r="Q12" s="43" t="s">
        <v>30</v>
      </c>
      <c r="R12" s="29" t="s">
        <v>87</v>
      </c>
      <c r="S12" s="29" t="s">
        <v>41</v>
      </c>
      <c r="T12" s="29"/>
    </row>
    <row r="13" spans="1:20" ht="45.95" customHeight="1" x14ac:dyDescent="0.25">
      <c r="A13" s="29">
        <v>12</v>
      </c>
      <c r="B13" s="36" t="s">
        <v>379</v>
      </c>
      <c r="C13" s="29" t="s">
        <v>44</v>
      </c>
      <c r="D13" s="29" t="s">
        <v>380</v>
      </c>
      <c r="E13" s="29" t="s">
        <v>100</v>
      </c>
      <c r="F13" s="29" t="s">
        <v>101</v>
      </c>
      <c r="G13" s="36" t="s">
        <v>93</v>
      </c>
      <c r="H13" s="29" t="s">
        <v>102</v>
      </c>
      <c r="I13" s="29" t="s">
        <v>103</v>
      </c>
      <c r="J13" s="29" t="s">
        <v>104</v>
      </c>
      <c r="K13" s="29" t="s">
        <v>39</v>
      </c>
      <c r="L13" s="29"/>
      <c r="M13" s="29" t="s">
        <v>451</v>
      </c>
      <c r="N13" s="43" t="s">
        <v>155</v>
      </c>
      <c r="O13" s="43" t="s">
        <v>30</v>
      </c>
      <c r="P13" s="43" t="s">
        <v>30</v>
      </c>
      <c r="Q13" s="43" t="s">
        <v>30</v>
      </c>
      <c r="R13" s="29" t="s">
        <v>87</v>
      </c>
      <c r="S13" s="29" t="s">
        <v>41</v>
      </c>
      <c r="T13" s="29"/>
    </row>
    <row r="14" spans="1:20" ht="45.95" customHeight="1" x14ac:dyDescent="0.25">
      <c r="A14" s="29">
        <v>13</v>
      </c>
      <c r="B14" s="36" t="s">
        <v>381</v>
      </c>
      <c r="C14" s="29" t="s">
        <v>44</v>
      </c>
      <c r="D14" s="29" t="s">
        <v>382</v>
      </c>
      <c r="E14" s="29" t="s">
        <v>242</v>
      </c>
      <c r="F14" s="29" t="s">
        <v>243</v>
      </c>
      <c r="G14" s="36" t="s">
        <v>25</v>
      </c>
      <c r="H14" s="29" t="s">
        <v>383</v>
      </c>
      <c r="I14" s="29" t="s">
        <v>384</v>
      </c>
      <c r="J14" s="29" t="s">
        <v>385</v>
      </c>
      <c r="K14" s="29" t="s">
        <v>39</v>
      </c>
      <c r="L14" s="29"/>
      <c r="M14" s="29" t="s">
        <v>451</v>
      </c>
      <c r="N14" s="43" t="s">
        <v>155</v>
      </c>
      <c r="O14" s="43" t="s">
        <v>30</v>
      </c>
      <c r="P14" s="43" t="s">
        <v>30</v>
      </c>
      <c r="Q14" s="43" t="s">
        <v>30</v>
      </c>
      <c r="R14" s="29" t="s">
        <v>40</v>
      </c>
      <c r="S14" s="29" t="s">
        <v>41</v>
      </c>
      <c r="T14" s="29"/>
    </row>
    <row r="15" spans="1:20" ht="45.95" customHeight="1" x14ac:dyDescent="0.25">
      <c r="A15" s="29">
        <v>14</v>
      </c>
      <c r="B15" s="36" t="s">
        <v>454</v>
      </c>
      <c r="C15" s="29" t="s">
        <v>21</v>
      </c>
      <c r="D15" s="29" t="s">
        <v>386</v>
      </c>
      <c r="E15" s="29" t="s">
        <v>257</v>
      </c>
      <c r="F15" s="29" t="s">
        <v>121</v>
      </c>
      <c r="G15" s="36" t="s">
        <v>25</v>
      </c>
      <c r="H15" s="29" t="s">
        <v>122</v>
      </c>
      <c r="I15" s="29" t="s">
        <v>123</v>
      </c>
      <c r="J15" s="29" t="s">
        <v>124</v>
      </c>
      <c r="K15" s="29" t="s">
        <v>39</v>
      </c>
      <c r="L15" s="29"/>
      <c r="M15" s="29" t="s">
        <v>451</v>
      </c>
      <c r="N15" s="30">
        <v>0.57999999999999996</v>
      </c>
      <c r="O15" s="30">
        <v>0.55000000000000004</v>
      </c>
      <c r="P15" s="30">
        <v>0.7</v>
      </c>
      <c r="Q15" s="30" t="s">
        <v>456</v>
      </c>
      <c r="R15" s="29" t="s">
        <v>69</v>
      </c>
      <c r="S15" s="29" t="s">
        <v>41</v>
      </c>
      <c r="T15" s="29" t="s">
        <v>455</v>
      </c>
    </row>
    <row r="16" spans="1:20" ht="45.95" customHeight="1" x14ac:dyDescent="0.25">
      <c r="A16" s="29">
        <v>15</v>
      </c>
      <c r="B16" s="36" t="s">
        <v>259</v>
      </c>
      <c r="C16" s="29" t="s">
        <v>21</v>
      </c>
      <c r="D16" s="29" t="s">
        <v>387</v>
      </c>
      <c r="E16" s="29" t="s">
        <v>260</v>
      </c>
      <c r="F16" s="29" t="s">
        <v>261</v>
      </c>
      <c r="G16" s="36" t="s">
        <v>93</v>
      </c>
      <c r="H16" s="29" t="s">
        <v>325</v>
      </c>
      <c r="I16" s="29" t="s">
        <v>388</v>
      </c>
      <c r="J16" s="29" t="s">
        <v>389</v>
      </c>
      <c r="K16" s="29" t="s">
        <v>39</v>
      </c>
      <c r="L16" s="29"/>
      <c r="M16" s="29" t="s">
        <v>451</v>
      </c>
      <c r="N16" s="43" t="s">
        <v>155</v>
      </c>
      <c r="O16" s="43" t="s">
        <v>155</v>
      </c>
      <c r="P16" s="43" t="s">
        <v>30</v>
      </c>
      <c r="Q16" s="43" t="s">
        <v>30</v>
      </c>
      <c r="R16" s="29" t="s">
        <v>69</v>
      </c>
      <c r="S16" s="29" t="s">
        <v>41</v>
      </c>
      <c r="T16" s="29"/>
    </row>
    <row r="17" spans="1:20" ht="45.95" customHeight="1" x14ac:dyDescent="0.25">
      <c r="A17" s="29">
        <v>16</v>
      </c>
      <c r="B17" s="36" t="s">
        <v>264</v>
      </c>
      <c r="C17" s="29" t="s">
        <v>21</v>
      </c>
      <c r="D17" s="29" t="s">
        <v>390</v>
      </c>
      <c r="E17" s="29" t="s">
        <v>265</v>
      </c>
      <c r="F17" s="29" t="s">
        <v>129</v>
      </c>
      <c r="G17" s="36" t="s">
        <v>48</v>
      </c>
      <c r="H17" s="29" t="s">
        <v>130</v>
      </c>
      <c r="I17" s="29" t="s">
        <v>131</v>
      </c>
      <c r="J17" s="29" t="s">
        <v>132</v>
      </c>
      <c r="K17" s="29" t="s">
        <v>39</v>
      </c>
      <c r="L17" s="29"/>
      <c r="M17" s="29" t="s">
        <v>451</v>
      </c>
      <c r="N17" s="43" t="s">
        <v>30</v>
      </c>
      <c r="O17" s="43" t="s">
        <v>30</v>
      </c>
      <c r="P17" s="43" t="s">
        <v>30</v>
      </c>
      <c r="Q17" s="43" t="s">
        <v>30</v>
      </c>
      <c r="R17" s="29" t="s">
        <v>40</v>
      </c>
      <c r="S17" s="29" t="s">
        <v>41</v>
      </c>
      <c r="T17" s="29"/>
    </row>
    <row r="18" spans="1:20" ht="45.95" customHeight="1" x14ac:dyDescent="0.25">
      <c r="A18" s="29">
        <v>17</v>
      </c>
      <c r="B18" s="36" t="s">
        <v>267</v>
      </c>
      <c r="C18" s="29" t="s">
        <v>21</v>
      </c>
      <c r="D18" s="29" t="s">
        <v>391</v>
      </c>
      <c r="E18" s="29" t="s">
        <v>268</v>
      </c>
      <c r="F18" s="29" t="s">
        <v>269</v>
      </c>
      <c r="G18" s="36" t="s">
        <v>48</v>
      </c>
      <c r="H18" s="29" t="s">
        <v>130</v>
      </c>
      <c r="I18" s="29" t="s">
        <v>392</v>
      </c>
      <c r="J18" s="29" t="s">
        <v>393</v>
      </c>
      <c r="K18" s="29" t="s">
        <v>39</v>
      </c>
      <c r="L18" s="29"/>
      <c r="M18" s="29" t="s">
        <v>451</v>
      </c>
      <c r="N18" s="43" t="s">
        <v>30</v>
      </c>
      <c r="O18" s="43" t="s">
        <v>30</v>
      </c>
      <c r="P18" s="43" t="s">
        <v>30</v>
      </c>
      <c r="Q18" s="43" t="s">
        <v>30</v>
      </c>
      <c r="R18" s="29" t="s">
        <v>69</v>
      </c>
      <c r="S18" s="29" t="s">
        <v>41</v>
      </c>
      <c r="T18" s="29"/>
    </row>
    <row r="19" spans="1:20" ht="45.95" customHeight="1" x14ac:dyDescent="0.25">
      <c r="A19" s="29">
        <v>18</v>
      </c>
      <c r="B19" s="36" t="s">
        <v>271</v>
      </c>
      <c r="C19" s="29" t="s">
        <v>21</v>
      </c>
      <c r="D19" s="29" t="s">
        <v>394</v>
      </c>
      <c r="E19" s="29" t="s">
        <v>272</v>
      </c>
      <c r="F19" s="29" t="s">
        <v>273</v>
      </c>
      <c r="G19" s="29" t="s">
        <v>48</v>
      </c>
      <c r="H19" s="29" t="s">
        <v>130</v>
      </c>
      <c r="I19" s="29" t="s">
        <v>395</v>
      </c>
      <c r="J19" s="29" t="s">
        <v>396</v>
      </c>
      <c r="K19" s="29" t="s">
        <v>39</v>
      </c>
      <c r="L19" s="29"/>
      <c r="M19" s="29" t="s">
        <v>451</v>
      </c>
      <c r="N19" s="43" t="s">
        <v>30</v>
      </c>
      <c r="O19" s="43" t="s">
        <v>30</v>
      </c>
      <c r="P19" s="43" t="s">
        <v>30</v>
      </c>
      <c r="Q19" s="43" t="s">
        <v>30</v>
      </c>
      <c r="R19" s="29" t="s">
        <v>69</v>
      </c>
      <c r="S19" s="29" t="s">
        <v>41</v>
      </c>
      <c r="T19" s="29"/>
    </row>
    <row r="20" spans="1:20" ht="45.95" customHeight="1" x14ac:dyDescent="0.25">
      <c r="A20" s="29">
        <v>19</v>
      </c>
      <c r="B20" s="36" t="s">
        <v>397</v>
      </c>
      <c r="C20" s="29" t="s">
        <v>21</v>
      </c>
      <c r="D20" s="29" t="s">
        <v>398</v>
      </c>
      <c r="E20" s="29" t="s">
        <v>276</v>
      </c>
      <c r="F20" s="29" t="s">
        <v>136</v>
      </c>
      <c r="G20" s="36" t="s">
        <v>93</v>
      </c>
      <c r="H20" s="29" t="s">
        <v>122</v>
      </c>
      <c r="I20" s="29" t="s">
        <v>137</v>
      </c>
      <c r="J20" s="29" t="s">
        <v>138</v>
      </c>
      <c r="K20" s="29" t="s">
        <v>39</v>
      </c>
      <c r="L20" s="29"/>
      <c r="M20" s="29" t="s">
        <v>451</v>
      </c>
      <c r="N20" s="43" t="s">
        <v>155</v>
      </c>
      <c r="O20" s="43" t="s">
        <v>30</v>
      </c>
      <c r="P20" s="43" t="s">
        <v>30</v>
      </c>
      <c r="Q20" s="43" t="s">
        <v>30</v>
      </c>
      <c r="R20" s="29" t="s">
        <v>40</v>
      </c>
      <c r="S20" s="29" t="s">
        <v>41</v>
      </c>
      <c r="T20" s="29"/>
    </row>
    <row r="21" spans="1:20" ht="45.95" customHeight="1" x14ac:dyDescent="0.25">
      <c r="A21" s="29">
        <v>20</v>
      </c>
      <c r="B21" s="36" t="s">
        <v>278</v>
      </c>
      <c r="C21" s="29" t="s">
        <v>21</v>
      </c>
      <c r="D21" s="29" t="s">
        <v>399</v>
      </c>
      <c r="E21" s="29" t="s">
        <v>279</v>
      </c>
      <c r="F21" s="29" t="s">
        <v>273</v>
      </c>
      <c r="G21" s="29" t="s">
        <v>48</v>
      </c>
      <c r="H21" s="29" t="s">
        <v>130</v>
      </c>
      <c r="I21" s="29" t="s">
        <v>400</v>
      </c>
      <c r="J21" s="29" t="s">
        <v>401</v>
      </c>
      <c r="K21" s="29" t="s">
        <v>39</v>
      </c>
      <c r="L21" s="29"/>
      <c r="M21" s="29" t="s">
        <v>451</v>
      </c>
      <c r="N21" s="31" t="s">
        <v>443</v>
      </c>
      <c r="O21" s="31" t="s">
        <v>402</v>
      </c>
      <c r="P21" s="31" t="s">
        <v>402</v>
      </c>
      <c r="Q21" s="31" t="s">
        <v>402</v>
      </c>
      <c r="R21" s="29" t="s">
        <v>69</v>
      </c>
      <c r="S21" s="29" t="s">
        <v>41</v>
      </c>
      <c r="T21" s="29"/>
    </row>
    <row r="22" spans="1:20" ht="45.95" customHeight="1" x14ac:dyDescent="0.25">
      <c r="A22" s="29">
        <v>21</v>
      </c>
      <c r="B22" s="36" t="s">
        <v>140</v>
      </c>
      <c r="C22" s="29" t="s">
        <v>44</v>
      </c>
      <c r="D22" s="29" t="s">
        <v>403</v>
      </c>
      <c r="E22" s="29" t="s">
        <v>142</v>
      </c>
      <c r="F22" s="29" t="s">
        <v>143</v>
      </c>
      <c r="G22" s="36" t="s">
        <v>25</v>
      </c>
      <c r="H22" s="29" t="s">
        <v>144</v>
      </c>
      <c r="I22" s="29" t="s">
        <v>145</v>
      </c>
      <c r="J22" s="29" t="s">
        <v>146</v>
      </c>
      <c r="K22" s="29" t="s">
        <v>39</v>
      </c>
      <c r="L22" s="29"/>
      <c r="M22" s="29" t="s">
        <v>451</v>
      </c>
      <c r="N22" s="43" t="s">
        <v>155</v>
      </c>
      <c r="O22" s="43" t="s">
        <v>155</v>
      </c>
      <c r="P22" s="43" t="s">
        <v>30</v>
      </c>
      <c r="Q22" s="43" t="s">
        <v>30</v>
      </c>
      <c r="R22" s="29" t="s">
        <v>87</v>
      </c>
      <c r="S22" s="29" t="s">
        <v>41</v>
      </c>
      <c r="T22" s="29"/>
    </row>
    <row r="23" spans="1:20" ht="45.95" customHeight="1" x14ac:dyDescent="0.25">
      <c r="A23" s="29">
        <v>22</v>
      </c>
      <c r="B23" s="36" t="s">
        <v>148</v>
      </c>
      <c r="C23" s="29" t="s">
        <v>44</v>
      </c>
      <c r="D23" s="29" t="s">
        <v>404</v>
      </c>
      <c r="E23" s="29" t="s">
        <v>150</v>
      </c>
      <c r="F23" s="29" t="s">
        <v>151</v>
      </c>
      <c r="G23" s="29" t="s">
        <v>48</v>
      </c>
      <c r="H23" s="29" t="s">
        <v>152</v>
      </c>
      <c r="I23" s="29" t="s">
        <v>153</v>
      </c>
      <c r="J23" s="29" t="s">
        <v>154</v>
      </c>
      <c r="K23" s="29" t="s">
        <v>39</v>
      </c>
      <c r="L23" s="29"/>
      <c r="M23" s="29" t="s">
        <v>451</v>
      </c>
      <c r="N23" s="43" t="s">
        <v>155</v>
      </c>
      <c r="O23" s="43" t="s">
        <v>155</v>
      </c>
      <c r="P23" s="43" t="s">
        <v>30</v>
      </c>
      <c r="Q23" s="43" t="s">
        <v>30</v>
      </c>
      <c r="R23" s="29" t="s">
        <v>69</v>
      </c>
      <c r="S23" s="29" t="s">
        <v>41</v>
      </c>
      <c r="T23" s="29"/>
    </row>
    <row r="24" spans="1:20" ht="45.95" customHeight="1" x14ac:dyDescent="0.25">
      <c r="A24" s="29">
        <v>23</v>
      </c>
      <c r="B24" s="36" t="s">
        <v>187</v>
      </c>
      <c r="C24" s="29" t="s">
        <v>21</v>
      </c>
      <c r="D24" s="29" t="s">
        <v>405</v>
      </c>
      <c r="E24" s="29" t="s">
        <v>189</v>
      </c>
      <c r="F24" s="29" t="s">
        <v>190</v>
      </c>
      <c r="G24" s="29" t="s">
        <v>48</v>
      </c>
      <c r="H24" s="29" t="s">
        <v>191</v>
      </c>
      <c r="I24" s="29" t="s">
        <v>192</v>
      </c>
      <c r="J24" s="29" t="s">
        <v>193</v>
      </c>
      <c r="K24" s="29" t="s">
        <v>39</v>
      </c>
      <c r="L24" s="29"/>
      <c r="M24" s="29" t="s">
        <v>451</v>
      </c>
      <c r="N24" s="43" t="s">
        <v>155</v>
      </c>
      <c r="O24" s="43" t="s">
        <v>155</v>
      </c>
      <c r="P24" s="43" t="s">
        <v>30</v>
      </c>
      <c r="Q24" s="43" t="s">
        <v>30</v>
      </c>
      <c r="R24" s="29" t="s">
        <v>40</v>
      </c>
      <c r="S24" s="29" t="s">
        <v>41</v>
      </c>
      <c r="T24" s="29"/>
    </row>
    <row r="25" spans="1:20" ht="45.95" customHeight="1" x14ac:dyDescent="0.25">
      <c r="A25" s="29">
        <v>24</v>
      </c>
      <c r="B25" s="36" t="s">
        <v>166</v>
      </c>
      <c r="C25" s="18" t="s">
        <v>21</v>
      </c>
      <c r="D25" s="29" t="s">
        <v>406</v>
      </c>
      <c r="E25" s="29" t="s">
        <v>407</v>
      </c>
      <c r="F25" s="29" t="s">
        <v>160</v>
      </c>
      <c r="G25" s="18" t="s">
        <v>93</v>
      </c>
      <c r="H25" s="18" t="s">
        <v>110</v>
      </c>
      <c r="I25" s="18" t="s">
        <v>169</v>
      </c>
      <c r="J25" s="18" t="s">
        <v>170</v>
      </c>
      <c r="K25" s="29" t="s">
        <v>39</v>
      </c>
      <c r="L25" s="29"/>
      <c r="M25" s="29" t="s">
        <v>451</v>
      </c>
      <c r="N25" s="35">
        <v>0.55000000000000004</v>
      </c>
      <c r="O25" s="35">
        <v>0.51</v>
      </c>
      <c r="P25" s="35">
        <v>0.55000000000000004</v>
      </c>
      <c r="Q25" s="35">
        <v>0.76</v>
      </c>
      <c r="R25" s="29" t="s">
        <v>69</v>
      </c>
      <c r="S25" s="29" t="s">
        <v>41</v>
      </c>
      <c r="T25" s="29"/>
    </row>
    <row r="26" spans="1:20" ht="45.95" customHeight="1" x14ac:dyDescent="0.25">
      <c r="A26" s="29">
        <v>25</v>
      </c>
      <c r="B26" s="36" t="s">
        <v>408</v>
      </c>
      <c r="C26" s="18" t="s">
        <v>21</v>
      </c>
      <c r="D26" s="29" t="s">
        <v>409</v>
      </c>
      <c r="E26" s="29" t="s">
        <v>410</v>
      </c>
      <c r="F26" s="29" t="s">
        <v>160</v>
      </c>
      <c r="G26" s="18" t="s">
        <v>93</v>
      </c>
      <c r="H26" s="18" t="s">
        <v>110</v>
      </c>
      <c r="I26" s="18" t="s">
        <v>411</v>
      </c>
      <c r="J26" s="18" t="s">
        <v>412</v>
      </c>
      <c r="K26" s="29" t="s">
        <v>39</v>
      </c>
      <c r="L26" s="29"/>
      <c r="M26" s="29" t="s">
        <v>451</v>
      </c>
      <c r="N26" s="35">
        <v>0.14000000000000001</v>
      </c>
      <c r="O26" s="35">
        <v>0.14000000000000001</v>
      </c>
      <c r="P26" s="35">
        <v>0.13</v>
      </c>
      <c r="Q26" s="35">
        <v>0.22</v>
      </c>
      <c r="R26" s="29" t="s">
        <v>69</v>
      </c>
      <c r="S26" s="29" t="s">
        <v>41</v>
      </c>
      <c r="T26" s="29"/>
    </row>
    <row r="27" spans="1:20" ht="45.95" customHeight="1" x14ac:dyDescent="0.25">
      <c r="A27" s="29">
        <v>26</v>
      </c>
      <c r="B27" s="36" t="s">
        <v>285</v>
      </c>
      <c r="C27" s="18" t="s">
        <v>44</v>
      </c>
      <c r="D27" s="29" t="s">
        <v>413</v>
      </c>
      <c r="E27" s="29" t="s">
        <v>414</v>
      </c>
      <c r="F27" s="29" t="s">
        <v>160</v>
      </c>
      <c r="G27" s="18" t="s">
        <v>48</v>
      </c>
      <c r="H27" s="18" t="s">
        <v>110</v>
      </c>
      <c r="I27" s="18" t="s">
        <v>415</v>
      </c>
      <c r="J27" s="18" t="s">
        <v>416</v>
      </c>
      <c r="K27" s="29" t="s">
        <v>39</v>
      </c>
      <c r="L27" s="29"/>
      <c r="M27" s="29" t="s">
        <v>451</v>
      </c>
      <c r="N27" s="35">
        <v>0.84428629027191937</v>
      </c>
      <c r="O27" s="35">
        <v>0.85543076680879859</v>
      </c>
      <c r="P27" s="35">
        <v>0.88</v>
      </c>
      <c r="Q27" s="35">
        <v>0.9</v>
      </c>
      <c r="R27" s="29" t="s">
        <v>69</v>
      </c>
      <c r="S27" s="29" t="s">
        <v>41</v>
      </c>
      <c r="T27" s="29"/>
    </row>
    <row r="28" spans="1:20" ht="45.95" customHeight="1" x14ac:dyDescent="0.25">
      <c r="A28" s="29">
        <v>27</v>
      </c>
      <c r="B28" s="36" t="s">
        <v>417</v>
      </c>
      <c r="C28" s="18" t="s">
        <v>44</v>
      </c>
      <c r="D28" s="29" t="s">
        <v>418</v>
      </c>
      <c r="E28" s="32" t="s">
        <v>288</v>
      </c>
      <c r="F28" s="29" t="s">
        <v>183</v>
      </c>
      <c r="G28" s="18" t="s">
        <v>48</v>
      </c>
      <c r="H28" s="18" t="s">
        <v>110</v>
      </c>
      <c r="I28" s="18" t="s">
        <v>419</v>
      </c>
      <c r="J28" s="18" t="s">
        <v>420</v>
      </c>
      <c r="K28" s="29" t="s">
        <v>39</v>
      </c>
      <c r="L28" s="29"/>
      <c r="M28" s="29" t="s">
        <v>451</v>
      </c>
      <c r="N28" s="44" t="s">
        <v>155</v>
      </c>
      <c r="O28" s="44" t="s">
        <v>290</v>
      </c>
      <c r="P28" s="44">
        <v>0.85</v>
      </c>
      <c r="Q28" s="44">
        <v>0.95</v>
      </c>
      <c r="R28" s="29" t="s">
        <v>40</v>
      </c>
      <c r="S28" s="29" t="s">
        <v>41</v>
      </c>
      <c r="T28" s="29"/>
    </row>
    <row r="29" spans="1:20" ht="45.95" customHeight="1" x14ac:dyDescent="0.25">
      <c r="A29" s="29">
        <v>28</v>
      </c>
      <c r="B29" s="36" t="s">
        <v>296</v>
      </c>
      <c r="C29" s="18" t="s">
        <v>44</v>
      </c>
      <c r="D29" s="29" t="s">
        <v>418</v>
      </c>
      <c r="E29" s="33" t="s">
        <v>297</v>
      </c>
      <c r="F29" s="29" t="s">
        <v>183</v>
      </c>
      <c r="G29" s="18" t="s">
        <v>48</v>
      </c>
      <c r="H29" s="18" t="s">
        <v>110</v>
      </c>
      <c r="I29" s="18" t="s">
        <v>421</v>
      </c>
      <c r="J29" s="18" t="s">
        <v>422</v>
      </c>
      <c r="K29" s="29" t="s">
        <v>39</v>
      </c>
      <c r="L29" s="29"/>
      <c r="M29" s="29" t="s">
        <v>451</v>
      </c>
      <c r="N29" s="44" t="s">
        <v>155</v>
      </c>
      <c r="O29" s="44" t="s">
        <v>289</v>
      </c>
      <c r="P29" s="44">
        <v>0.85</v>
      </c>
      <c r="Q29" s="44">
        <v>0.9</v>
      </c>
      <c r="R29" s="29" t="s">
        <v>40</v>
      </c>
      <c r="S29" s="29" t="s">
        <v>41</v>
      </c>
      <c r="T29" s="29"/>
    </row>
    <row r="30" spans="1:20" ht="45.95" customHeight="1" x14ac:dyDescent="0.25">
      <c r="A30" s="29">
        <v>29</v>
      </c>
      <c r="B30" s="36" t="s">
        <v>180</v>
      </c>
      <c r="C30" s="18" t="s">
        <v>21</v>
      </c>
      <c r="D30" s="29" t="s">
        <v>423</v>
      </c>
      <c r="E30" s="33" t="s">
        <v>182</v>
      </c>
      <c r="F30" s="29" t="s">
        <v>183</v>
      </c>
      <c r="G30" s="18" t="s">
        <v>93</v>
      </c>
      <c r="H30" s="18" t="s">
        <v>110</v>
      </c>
      <c r="I30" s="18" t="s">
        <v>184</v>
      </c>
      <c r="J30" s="18" t="s">
        <v>185</v>
      </c>
      <c r="K30" s="29" t="s">
        <v>39</v>
      </c>
      <c r="L30" s="29"/>
      <c r="M30" s="29" t="s">
        <v>451</v>
      </c>
      <c r="N30" s="35">
        <v>0.9</v>
      </c>
      <c r="O30" s="35">
        <v>0.88</v>
      </c>
      <c r="P30" s="35">
        <v>0.9</v>
      </c>
      <c r="Q30" s="35">
        <v>0.95</v>
      </c>
      <c r="R30" s="29" t="s">
        <v>69</v>
      </c>
      <c r="S30" s="29" t="s">
        <v>41</v>
      </c>
      <c r="T30" s="29"/>
    </row>
    <row r="31" spans="1:20" ht="45.95" customHeight="1" x14ac:dyDescent="0.25">
      <c r="A31" s="29">
        <v>30</v>
      </c>
      <c r="B31" s="36" t="s">
        <v>424</v>
      </c>
      <c r="C31" s="18" t="s">
        <v>21</v>
      </c>
      <c r="D31" s="32" t="s">
        <v>425</v>
      </c>
      <c r="E31" s="32" t="s">
        <v>293</v>
      </c>
      <c r="F31" s="29" t="s">
        <v>160</v>
      </c>
      <c r="G31" s="18" t="s">
        <v>93</v>
      </c>
      <c r="H31" s="18" t="s">
        <v>110</v>
      </c>
      <c r="I31" s="18" t="s">
        <v>426</v>
      </c>
      <c r="J31" s="18" t="s">
        <v>427</v>
      </c>
      <c r="K31" s="29" t="s">
        <v>39</v>
      </c>
      <c r="L31" s="29"/>
      <c r="M31" s="29" t="s">
        <v>451</v>
      </c>
      <c r="N31" s="44">
        <v>0.9</v>
      </c>
      <c r="O31" s="44">
        <v>0.9</v>
      </c>
      <c r="P31" s="44" t="s">
        <v>58</v>
      </c>
      <c r="Q31" s="44" t="s">
        <v>58</v>
      </c>
      <c r="R31" s="29" t="s">
        <v>69</v>
      </c>
      <c r="S31" s="29" t="s">
        <v>41</v>
      </c>
      <c r="T31" s="29" t="s">
        <v>464</v>
      </c>
    </row>
    <row r="32" spans="1:20" ht="45.95" customHeight="1" x14ac:dyDescent="0.25">
      <c r="A32" s="29">
        <v>31</v>
      </c>
      <c r="B32" s="36" t="s">
        <v>224</v>
      </c>
      <c r="C32" s="18" t="s">
        <v>44</v>
      </c>
      <c r="D32" s="29" t="s">
        <v>428</v>
      </c>
      <c r="E32" s="32" t="s">
        <v>225</v>
      </c>
      <c r="F32" s="29" t="s">
        <v>213</v>
      </c>
      <c r="G32" s="18" t="s">
        <v>429</v>
      </c>
      <c r="H32" s="18" t="s">
        <v>110</v>
      </c>
      <c r="I32" s="18" t="s">
        <v>430</v>
      </c>
      <c r="J32" s="18" t="s">
        <v>431</v>
      </c>
      <c r="K32" s="29" t="s">
        <v>39</v>
      </c>
      <c r="L32" s="29"/>
      <c r="M32" s="29" t="s">
        <v>312</v>
      </c>
      <c r="N32" s="35">
        <v>0.99</v>
      </c>
      <c r="O32" s="35">
        <v>0.99</v>
      </c>
      <c r="P32" s="35">
        <v>0.99</v>
      </c>
      <c r="Q32" s="35">
        <v>0.99</v>
      </c>
      <c r="R32" s="29" t="s">
        <v>69</v>
      </c>
      <c r="S32" s="29" t="s">
        <v>41</v>
      </c>
      <c r="T32" s="29"/>
    </row>
    <row r="33" spans="1:20" ht="45.95" customHeight="1" x14ac:dyDescent="0.25">
      <c r="A33" s="29">
        <v>32</v>
      </c>
      <c r="B33" s="36" t="s">
        <v>432</v>
      </c>
      <c r="C33" s="18" t="s">
        <v>44</v>
      </c>
      <c r="D33" s="29" t="s">
        <v>433</v>
      </c>
      <c r="E33" s="32" t="s">
        <v>108</v>
      </c>
      <c r="F33" s="18" t="s">
        <v>109</v>
      </c>
      <c r="G33" s="18" t="s">
        <v>48</v>
      </c>
      <c r="H33" s="18" t="s">
        <v>110</v>
      </c>
      <c r="I33" s="18" t="s">
        <v>111</v>
      </c>
      <c r="J33" s="18" t="s">
        <v>112</v>
      </c>
      <c r="K33" s="29" t="s">
        <v>39</v>
      </c>
      <c r="L33" s="29"/>
      <c r="M33" s="29" t="s">
        <v>451</v>
      </c>
      <c r="N33" s="35" t="s">
        <v>457</v>
      </c>
      <c r="O33" s="35" t="s">
        <v>113</v>
      </c>
      <c r="P33" s="35" t="s">
        <v>114</v>
      </c>
      <c r="Q33" s="35" t="s">
        <v>458</v>
      </c>
      <c r="R33" s="29" t="s">
        <v>69</v>
      </c>
      <c r="S33" s="29" t="s">
        <v>41</v>
      </c>
      <c r="T33" s="29"/>
    </row>
    <row r="34" spans="1:20" ht="45.95" customHeight="1" x14ac:dyDescent="0.25">
      <c r="A34" s="29">
        <v>33</v>
      </c>
      <c r="B34" s="36" t="s">
        <v>195</v>
      </c>
      <c r="C34" s="18" t="s">
        <v>21</v>
      </c>
      <c r="D34" s="29" t="s">
        <v>434</v>
      </c>
      <c r="E34" s="32" t="s">
        <v>197</v>
      </c>
      <c r="F34" s="29" t="s">
        <v>198</v>
      </c>
      <c r="G34" s="18" t="s">
        <v>93</v>
      </c>
      <c r="H34" s="18" t="s">
        <v>110</v>
      </c>
      <c r="I34" s="18" t="s">
        <v>199</v>
      </c>
      <c r="J34" s="18" t="s">
        <v>200</v>
      </c>
      <c r="K34" s="29" t="s">
        <v>39</v>
      </c>
      <c r="L34" s="29"/>
      <c r="M34" s="29" t="s">
        <v>451</v>
      </c>
      <c r="N34" s="35">
        <v>0.86</v>
      </c>
      <c r="O34" s="35">
        <v>0.9</v>
      </c>
      <c r="P34" s="35">
        <v>0.92</v>
      </c>
      <c r="Q34" s="35">
        <v>0.95</v>
      </c>
      <c r="R34" s="29" t="s">
        <v>69</v>
      </c>
      <c r="S34" s="29" t="s">
        <v>41</v>
      </c>
      <c r="T34" s="29"/>
    </row>
    <row r="35" spans="1:20" ht="45.95" customHeight="1" x14ac:dyDescent="0.25">
      <c r="A35" s="29">
        <v>34</v>
      </c>
      <c r="B35" s="36" t="s">
        <v>435</v>
      </c>
      <c r="C35" s="18" t="s">
        <v>21</v>
      </c>
      <c r="D35" s="29" t="s">
        <v>436</v>
      </c>
      <c r="E35" s="29" t="s">
        <v>437</v>
      </c>
      <c r="F35" s="18" t="s">
        <v>438</v>
      </c>
      <c r="G35" s="18" t="s">
        <v>48</v>
      </c>
      <c r="H35" s="18" t="s">
        <v>110</v>
      </c>
      <c r="I35" s="18" t="s">
        <v>439</v>
      </c>
      <c r="J35" s="18" t="s">
        <v>440</v>
      </c>
      <c r="K35" s="29" t="s">
        <v>39</v>
      </c>
      <c r="L35" s="29"/>
      <c r="M35" s="29" t="s">
        <v>450</v>
      </c>
      <c r="N35" s="35">
        <v>0.82</v>
      </c>
      <c r="O35" s="35">
        <v>0.93</v>
      </c>
      <c r="P35" s="35">
        <v>0.9</v>
      </c>
      <c r="Q35" s="35" t="s">
        <v>459</v>
      </c>
      <c r="R35" s="29" t="s">
        <v>69</v>
      </c>
      <c r="S35" s="29" t="s">
        <v>41</v>
      </c>
      <c r="T35" s="29"/>
    </row>
    <row r="36" spans="1:20" ht="45.95" customHeight="1" x14ac:dyDescent="0.25">
      <c r="A36" s="29">
        <v>35</v>
      </c>
      <c r="B36" s="36" t="s">
        <v>157</v>
      </c>
      <c r="C36" s="18" t="s">
        <v>21</v>
      </c>
      <c r="D36" s="29" t="s">
        <v>441</v>
      </c>
      <c r="E36" s="29" t="s">
        <v>159</v>
      </c>
      <c r="F36" s="34" t="s">
        <v>160</v>
      </c>
      <c r="G36" s="18" t="s">
        <v>93</v>
      </c>
      <c r="H36" s="18" t="s">
        <v>110</v>
      </c>
      <c r="I36" s="18" t="s">
        <v>161</v>
      </c>
      <c r="J36" s="18" t="s">
        <v>162</v>
      </c>
      <c r="K36" s="29" t="s">
        <v>39</v>
      </c>
      <c r="L36" s="29"/>
      <c r="M36" s="29" t="s">
        <v>451</v>
      </c>
      <c r="N36" s="35" t="s">
        <v>60</v>
      </c>
      <c r="O36" s="35">
        <v>0.78</v>
      </c>
      <c r="P36" s="35">
        <v>0.8</v>
      </c>
      <c r="Q36" s="35" t="s">
        <v>163</v>
      </c>
      <c r="R36" s="29" t="s">
        <v>69</v>
      </c>
      <c r="S36" s="29" t="s">
        <v>41</v>
      </c>
      <c r="T36" s="29"/>
    </row>
    <row r="37" spans="1:20" ht="45.95" customHeight="1" x14ac:dyDescent="0.25">
      <c r="A37" s="29">
        <v>36</v>
      </c>
      <c r="B37" s="36" t="s">
        <v>52</v>
      </c>
      <c r="C37" s="29" t="s">
        <v>21</v>
      </c>
      <c r="D37" s="29" t="s">
        <v>53</v>
      </c>
      <c r="E37" s="29" t="s">
        <v>54</v>
      </c>
      <c r="F37" s="29" t="s">
        <v>55</v>
      </c>
      <c r="G37" s="29" t="s">
        <v>25</v>
      </c>
      <c r="H37" s="29" t="s">
        <v>110</v>
      </c>
      <c r="I37" s="29" t="s">
        <v>60</v>
      </c>
      <c r="J37" s="29" t="s">
        <v>60</v>
      </c>
      <c r="K37" s="29" t="s">
        <v>39</v>
      </c>
      <c r="L37" s="29"/>
      <c r="M37" s="29" t="s">
        <v>312</v>
      </c>
      <c r="N37" s="29" t="s">
        <v>56</v>
      </c>
      <c r="O37" s="29" t="s">
        <v>57</v>
      </c>
      <c r="P37" s="29" t="s">
        <v>58</v>
      </c>
      <c r="Q37" s="29" t="s">
        <v>59</v>
      </c>
      <c r="R37" s="29" t="s">
        <v>69</v>
      </c>
      <c r="S37" s="29" t="s">
        <v>41</v>
      </c>
      <c r="T37" s="29"/>
    </row>
    <row r="38" spans="1:20" ht="45.95" customHeight="1" x14ac:dyDescent="0.25"/>
  </sheetData>
  <conditionalFormatting sqref="B1:B38 B74:B1048576">
    <cfRule type="duplicateValues" dxfId="6" priority="2"/>
    <cfRule type="duplicateValues" dxfId="5" priority="3"/>
    <cfRule type="duplicateValues" dxfId="4" priority="4"/>
    <cfRule type="duplicateValues" dxfId="3" priority="8"/>
  </conditionalFormatting>
  <conditionalFormatting sqref="B2:B37">
    <cfRule type="duplicateValues" dxfId="2" priority="5"/>
  </conditionalFormatting>
  <conditionalFormatting sqref="B38 C37:L37 N37:S37">
    <cfRule type="duplicateValues" dxfId="1" priority="9"/>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Framework</vt:lpstr>
      <vt:lpstr>Composite KPI Structure</vt:lpstr>
      <vt:lpstr>Executive KPIs</vt:lpstr>
      <vt:lpstr>KPI's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Saud Wael Bin Huraib</dc:creator>
  <cp:lastModifiedBy>Almaha Sulaiman Alkhurayji</cp:lastModifiedBy>
  <dcterms:created xsi:type="dcterms:W3CDTF">2026-01-06T12:08:33Z</dcterms:created>
  <dcterms:modified xsi:type="dcterms:W3CDTF">2026-01-13T10:15:28Z</dcterms:modified>
</cp:coreProperties>
</file>