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tconline-my.sharepoint.com/personal/akhuriji_rafedsa_com/Documents/Desktop/2025/"/>
    </mc:Choice>
  </mc:AlternateContent>
  <xr:revisionPtr revIDLastSave="592" documentId="13_ncr:1_{B98D9F14-1A9C-4519-BC15-DD6A5384CE75}" xr6:coauthVersionLast="47" xr6:coauthVersionMax="47" xr10:uidLastSave="{1D100A7A-4E4A-4458-8536-EA35F9AB3DD1}"/>
  <bookViews>
    <workbookView xWindow="-120" yWindow="-120" windowWidth="29040" windowHeight="15720" xr2:uid="{78D706B1-4AB8-40BC-B804-01EF3C05CE3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G10" i="1"/>
  <c r="G11" i="1"/>
  <c r="G12" i="1"/>
  <c r="N11" i="1"/>
  <c r="N12" i="1"/>
  <c r="N13" i="1"/>
  <c r="N10" i="1"/>
  <c r="G13" i="1"/>
  <c r="O11" i="1"/>
  <c r="O12" i="1"/>
  <c r="O13" i="1"/>
  <c r="O10" i="1"/>
  <c r="I11" i="1"/>
  <c r="I12" i="1"/>
  <c r="I13" i="1"/>
  <c r="I10" i="1"/>
  <c r="N80" i="1"/>
  <c r="N79" i="1"/>
  <c r="N77" i="1"/>
  <c r="O76" i="1"/>
  <c r="O77" i="1"/>
  <c r="O78" i="1"/>
  <c r="O79" i="1"/>
  <c r="O80" i="1"/>
  <c r="O81" i="1"/>
  <c r="O75" i="1"/>
  <c r="N75" i="1"/>
  <c r="I76" i="1"/>
  <c r="I77" i="1"/>
  <c r="I78" i="1"/>
  <c r="I81" i="1"/>
  <c r="I75" i="1"/>
  <c r="G75" i="1"/>
  <c r="N68" i="1"/>
  <c r="N69" i="1"/>
  <c r="N70" i="1"/>
  <c r="N71" i="1"/>
  <c r="N72" i="1"/>
  <c r="N67" i="1"/>
  <c r="O68" i="1"/>
  <c r="O69" i="1"/>
  <c r="O70" i="1"/>
  <c r="O71" i="1"/>
  <c r="O72" i="1"/>
  <c r="O67" i="1"/>
  <c r="N65" i="1"/>
  <c r="O58" i="1"/>
  <c r="O59" i="1"/>
  <c r="O60" i="1"/>
  <c r="O61" i="1"/>
  <c r="O62" i="1"/>
  <c r="O63" i="1"/>
  <c r="O64" i="1"/>
  <c r="O57" i="1"/>
  <c r="I58" i="1"/>
  <c r="I59" i="1"/>
  <c r="I60" i="1"/>
  <c r="I61" i="1"/>
  <c r="I62" i="1"/>
  <c r="I63" i="1"/>
  <c r="I64" i="1"/>
  <c r="I57" i="1"/>
  <c r="G58" i="1"/>
  <c r="G59" i="1"/>
  <c r="G60" i="1"/>
  <c r="G61" i="1"/>
  <c r="G62" i="1"/>
  <c r="G63" i="1"/>
  <c r="G64" i="1"/>
  <c r="G57" i="1"/>
  <c r="O54" i="1"/>
  <c r="N53" i="1"/>
  <c r="O49" i="1"/>
  <c r="O50" i="1"/>
  <c r="O51" i="1"/>
  <c r="O52" i="1"/>
  <c r="O53" i="1"/>
  <c r="O48" i="1"/>
  <c r="I49" i="1"/>
  <c r="I50" i="1"/>
  <c r="I51" i="1"/>
  <c r="I52" i="1"/>
  <c r="I53" i="1"/>
  <c r="I54" i="1"/>
  <c r="I48" i="1"/>
  <c r="G54" i="1"/>
  <c r="G53" i="1"/>
  <c r="G52" i="1"/>
  <c r="G51" i="1"/>
  <c r="G50" i="1"/>
  <c r="G49" i="1"/>
  <c r="G48" i="1"/>
  <c r="O41" i="1"/>
  <c r="O42" i="1"/>
  <c r="O43" i="1"/>
  <c r="O44" i="1"/>
  <c r="O45" i="1"/>
  <c r="O40" i="1"/>
  <c r="I44" i="1"/>
  <c r="I45" i="1"/>
  <c r="I42" i="1"/>
  <c r="I41" i="1"/>
  <c r="G41" i="1"/>
  <c r="N43" i="1"/>
  <c r="N41" i="1"/>
  <c r="N42" i="1"/>
  <c r="N44" i="1"/>
  <c r="N45" i="1"/>
  <c r="N40" i="1"/>
  <c r="G42" i="1"/>
  <c r="G44" i="1"/>
  <c r="G45" i="1"/>
  <c r="G31" i="1"/>
  <c r="N31" i="1"/>
  <c r="O33" i="1"/>
  <c r="I35" i="1"/>
  <c r="O35" i="1" s="1"/>
  <c r="I32" i="1"/>
  <c r="O32" i="1" s="1"/>
  <c r="I34" i="1"/>
  <c r="O34" i="1" s="1"/>
  <c r="I36" i="1"/>
  <c r="O36" i="1" s="1"/>
  <c r="I37" i="1"/>
  <c r="O37" i="1" s="1"/>
  <c r="I31" i="1"/>
  <c r="O31" i="1" s="1"/>
  <c r="G32" i="1"/>
  <c r="G34" i="1"/>
  <c r="G35" i="1"/>
  <c r="G36" i="1"/>
  <c r="G37" i="1"/>
  <c r="G25" i="1"/>
  <c r="O26" i="1"/>
  <c r="I26" i="1"/>
  <c r="I27" i="1"/>
  <c r="O27" i="1" s="1"/>
  <c r="I28" i="1"/>
  <c r="O28" i="1" s="1"/>
  <c r="I25" i="1"/>
  <c r="O25" i="1" s="1"/>
  <c r="G26" i="1"/>
  <c r="G27" i="1"/>
  <c r="G28" i="1"/>
  <c r="G16" i="1"/>
  <c r="O20" i="1"/>
  <c r="O21" i="1"/>
  <c r="O22" i="1"/>
  <c r="O16" i="1"/>
  <c r="O2" i="1"/>
  <c r="N16" i="1"/>
  <c r="I17" i="1"/>
  <c r="O17" i="1" s="1"/>
  <c r="I18" i="1"/>
  <c r="O18" i="1" s="1"/>
  <c r="I19" i="1"/>
  <c r="O19" i="1" s="1"/>
  <c r="I20" i="1"/>
  <c r="I21" i="1"/>
  <c r="I22" i="1"/>
  <c r="I16" i="1"/>
  <c r="G17" i="1"/>
  <c r="G18" i="1"/>
  <c r="G19" i="1"/>
  <c r="G20" i="1"/>
  <c r="G21" i="1"/>
  <c r="G22" i="1"/>
  <c r="O3" i="1"/>
  <c r="O4" i="1"/>
  <c r="O5" i="1"/>
  <c r="O6" i="1"/>
  <c r="O7" i="1"/>
  <c r="N2" i="1"/>
  <c r="N3" i="1"/>
  <c r="S23" i="1" l="1"/>
  <c r="N18" i="1"/>
  <c r="N58" i="1"/>
  <c r="N59" i="1"/>
  <c r="N60" i="1"/>
  <c r="N61" i="1"/>
  <c r="N62" i="1"/>
  <c r="N63" i="1"/>
  <c r="N64" i="1"/>
  <c r="N57" i="1"/>
  <c r="N76" i="1"/>
  <c r="N78" i="1"/>
  <c r="N81" i="1"/>
  <c r="N49" i="1"/>
  <c r="N50" i="1"/>
  <c r="N51" i="1"/>
  <c r="N52" i="1"/>
  <c r="N54" i="1"/>
  <c r="N48" i="1"/>
  <c r="N46" i="1" l="1"/>
  <c r="N32" i="1"/>
  <c r="N33" i="1"/>
  <c r="N34" i="1"/>
  <c r="N35" i="1"/>
  <c r="N36" i="1"/>
  <c r="N37" i="1"/>
  <c r="N26" i="1"/>
  <c r="N27" i="1"/>
  <c r="N28" i="1"/>
  <c r="N25" i="1"/>
  <c r="N17" i="1"/>
  <c r="N19" i="1"/>
  <c r="N20" i="1"/>
  <c r="N21" i="1"/>
  <c r="N22" i="1"/>
  <c r="N4" i="1" l="1"/>
  <c r="N5" i="1"/>
  <c r="N6" i="1"/>
  <c r="N7" i="1"/>
  <c r="N14" i="1" l="1"/>
  <c r="N8" i="1"/>
  <c r="P82" i="1"/>
  <c r="S82" i="1"/>
  <c r="Q82" i="1"/>
  <c r="O82" i="1"/>
  <c r="N82" i="1"/>
  <c r="P73" i="1"/>
  <c r="O73" i="1"/>
  <c r="S73" i="1"/>
  <c r="Q73" i="1"/>
  <c r="N73" i="1"/>
  <c r="S65" i="1"/>
  <c r="Q65" i="1"/>
  <c r="P65" i="1"/>
  <c r="O65" i="1"/>
  <c r="P55" i="1"/>
  <c r="S55" i="1"/>
  <c r="Q55" i="1"/>
  <c r="O55" i="1"/>
  <c r="N55" i="1"/>
  <c r="P46" i="1"/>
  <c r="O46" i="1"/>
  <c r="S46" i="1"/>
  <c r="Q46" i="1"/>
  <c r="P38" i="1"/>
  <c r="O38" i="1"/>
  <c r="S38" i="1"/>
  <c r="Q38" i="1"/>
  <c r="N38" i="1"/>
  <c r="S29" i="1"/>
  <c r="Q29" i="1"/>
  <c r="P29" i="1"/>
  <c r="O29" i="1"/>
  <c r="N29" i="1"/>
  <c r="P23" i="1"/>
  <c r="O23" i="1"/>
  <c r="Q23" i="1"/>
  <c r="N23" i="1"/>
  <c r="P14" i="1"/>
  <c r="O14" i="1"/>
  <c r="S14" i="1"/>
  <c r="Q14" i="1"/>
  <c r="Q8" i="1"/>
  <c r="S8" i="1"/>
  <c r="P8" i="1"/>
  <c r="O8" i="1"/>
</calcChain>
</file>

<file path=xl/sharedStrings.xml><?xml version="1.0" encoding="utf-8"?>
<sst xmlns="http://schemas.openxmlformats.org/spreadsheetml/2006/main" count="355" uniqueCount="105">
  <si>
    <t>القطاع</t>
  </si>
  <si>
    <t>المؤشر</t>
  </si>
  <si>
    <t>نوع المؤشر</t>
  </si>
  <si>
    <t>الهدف</t>
  </si>
  <si>
    <t>الوزن</t>
  </si>
  <si>
    <t xml:space="preserve">الوزن المحققQ1   </t>
  </si>
  <si>
    <t xml:space="preserve">الوزن المحققQ2   </t>
  </si>
  <si>
    <t xml:space="preserve">الوزن المحققQ3   </t>
  </si>
  <si>
    <t xml:space="preserve">الوزن المحققQ4   </t>
  </si>
  <si>
    <t>النتيجة النهائية</t>
  </si>
  <si>
    <t>النسبة النهائية</t>
  </si>
  <si>
    <t>الاستراتيجية وتطوير الأعمال</t>
  </si>
  <si>
    <t>سنوي</t>
  </si>
  <si>
    <t>% السياسات والإجراءات المحدثة</t>
  </si>
  <si>
    <t># جوائز واعتمادات</t>
  </si>
  <si>
    <t># الحملات التوعوية</t>
  </si>
  <si>
    <t>% المخاطر العالية</t>
  </si>
  <si>
    <t># الاتفاقيات والشراكات الاستراتيجية</t>
  </si>
  <si>
    <t># المنتجات / الخدمات الجديدة</t>
  </si>
  <si>
    <t>المجموع</t>
  </si>
  <si>
    <t>النتيجة السنوية</t>
  </si>
  <si>
    <t>الأعمال الخاصة</t>
  </si>
  <si>
    <t># التقارير الربعية</t>
  </si>
  <si>
    <t xml:space="preserve"># الحافلات المشغلة </t>
  </si>
  <si>
    <t>% الربح التشغيلي</t>
  </si>
  <si>
    <t>% رضا عملاء الأعمال الخاصة</t>
  </si>
  <si>
    <t>التخطيط والأداء</t>
  </si>
  <si>
    <t>% الرسوم المستردة للمسجلين غير المسكنين</t>
  </si>
  <si>
    <t>ربعي</t>
  </si>
  <si>
    <t>% السائقين المدربين</t>
  </si>
  <si>
    <t>% مؤشرات أداء المتعهدين المسلّمة</t>
  </si>
  <si>
    <t>% الشكاوى المغلقة في الوقت المحدد</t>
  </si>
  <si>
    <t>% رضا المستفيدين عن مركز الاتصال</t>
  </si>
  <si>
    <t>القانونية</t>
  </si>
  <si>
    <t># الحملات التوعوية للموظفين</t>
  </si>
  <si>
    <t>% فترة إبداء الرأي القانوني</t>
  </si>
  <si>
    <t>% فترة الرد على الجهات الرقابية</t>
  </si>
  <si>
    <t>العقود والمشتريات</t>
  </si>
  <si>
    <t xml:space="preserve">% المحتوى المحلي من أوامر المشتريات والعقود </t>
  </si>
  <si>
    <t>المالية</t>
  </si>
  <si>
    <t>% الانحراف عن الميزانية المخططة​ (إيجابي)</t>
  </si>
  <si>
    <t>1-5%</t>
  </si>
  <si>
    <t>% إصدار مسودة القوائم المالية</t>
  </si>
  <si>
    <t>% إقفال الفترة المحاسبية</t>
  </si>
  <si>
    <t>$ العائد من الاستثمار</t>
  </si>
  <si>
    <t>% إصدار نماذج تفاصيل الدفعات لطلب الفواتير (للمتعهدين)</t>
  </si>
  <si>
    <t>% الفوترة بمستحقات الشركة</t>
  </si>
  <si>
    <t>التشغيل</t>
  </si>
  <si>
    <t>% فحص الأسطول للعام الدراسي</t>
  </si>
  <si>
    <t>% المسكنين من المشمولين</t>
  </si>
  <si>
    <t>% معالجة ملاحظات الهوية المدرسية والأمن والسلامة</t>
  </si>
  <si>
    <t>% معالجة ملاحظات جودة الخدمة والسائق</t>
  </si>
  <si>
    <t>% اكتمال البيانات التشغيلية</t>
  </si>
  <si>
    <t>التحول الرقمي</t>
  </si>
  <si>
    <t>% التذاكر المغلقة</t>
  </si>
  <si>
    <t xml:space="preserve">% التصدي للاختراقات </t>
  </si>
  <si>
    <t>% توفر أنظمة الشركة خلال ساعات العمل</t>
  </si>
  <si>
    <t>% عمليات النسخ الاحتياطي الناجحة</t>
  </si>
  <si>
    <t>الخدمات المؤسسية</t>
  </si>
  <si>
    <t>% إغلاق الطلبات في الوقت المحدد</t>
  </si>
  <si>
    <t># تمارين الإخلاء المكتملة بنجاح</t>
  </si>
  <si>
    <t># الدورات التوعوية بالأمن والسلامة</t>
  </si>
  <si>
    <t># الحملات التسويقية</t>
  </si>
  <si>
    <t># أنشطة المسؤولية الاجتماعية</t>
  </si>
  <si>
    <t>الموارد البشرية</t>
  </si>
  <si>
    <t>% الموظفين المدربين</t>
  </si>
  <si>
    <t># ورش العمل</t>
  </si>
  <si>
    <t>% استراتيجية رافد</t>
  </si>
  <si>
    <r>
      <t>≤30</t>
    </r>
    <r>
      <rPr>
        <strike/>
        <sz val="11"/>
        <color rgb="FF000000"/>
        <rFont val="Almarai"/>
      </rPr>
      <t>%</t>
    </r>
  </si>
  <si>
    <t>% المسجلين من سقف العقد</t>
  </si>
  <si>
    <t>% الحوادث</t>
  </si>
  <si>
    <t>% زيادة نسبة اعداد الموردين</t>
  </si>
  <si>
    <t>% طلبات الشراء مصدر وحيد</t>
  </si>
  <si>
    <t>% وفورات في عملية الشراء</t>
  </si>
  <si>
    <t>% التفاوض مع اقل عرض سعر</t>
  </si>
  <si>
    <t>% دورة أمر الشراء (الفترة الزمنية من الطرح  الى تعميد أمر  الشراء )</t>
  </si>
  <si>
    <t>% دورة العقود (الفترة الزمنية من الطرح  الى توقيع العقد)</t>
  </si>
  <si>
    <t xml:space="preserve"> # تقرير الالتزام</t>
  </si>
  <si>
    <t>≤30%</t>
  </si>
  <si>
    <t>50  مليون</t>
  </si>
  <si>
    <t>% فحص الاسطول الدوري</t>
  </si>
  <si>
    <t>% الالتزام في اشتراطات العقد</t>
  </si>
  <si>
    <t>% تحسينات في  الـ ERP</t>
  </si>
  <si>
    <t>% تحسين عمليات الأنظمة ( الأنظمة التشغيلية )</t>
  </si>
  <si>
    <t>%تطوير بيئة سحابية محلية خاصة برافد</t>
  </si>
  <si>
    <t># الفعاليات الداخلية والمشاركات الخارجية</t>
  </si>
  <si>
    <t xml:space="preserve"># الظهور في وسائل التواصل </t>
  </si>
  <si>
    <t xml:space="preserve">30 مليون </t>
  </si>
  <si>
    <t>% مبادرات الاندماج الوظيفي  خلال السنة</t>
  </si>
  <si>
    <t>% الارتباط الوظيفي</t>
  </si>
  <si>
    <t>% الاستقالات (الادارية)</t>
  </si>
  <si>
    <t>% الاستقالات (التشغيلية)</t>
  </si>
  <si>
    <t>≤10%</t>
  </si>
  <si>
    <t xml:space="preserve">النسبة المحققة Q1 </t>
  </si>
  <si>
    <t>النتيجة الفعلية Q1</t>
  </si>
  <si>
    <t>النتيجة الفعلية Q2</t>
  </si>
  <si>
    <t xml:space="preserve">النسبة المحققة Q2 </t>
  </si>
  <si>
    <t>النتيجة الفعلية Q3</t>
  </si>
  <si>
    <t xml:space="preserve">النسبة المحققة Q3 </t>
  </si>
  <si>
    <t>النتيجة الفعلية Q4</t>
  </si>
  <si>
    <t xml:space="preserve">النسبة المحققة Q4 </t>
  </si>
  <si>
    <t>7.9 M</t>
  </si>
  <si>
    <t>18.5 M</t>
  </si>
  <si>
    <t xml:space="preserve">1.352.893 </t>
  </si>
  <si>
    <t>5.915.070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</si>
</sst>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lmarai"/>
    </font>
    <font>
      <sz val="11"/>
      <color theme="1"/>
      <name val="Almarai"/>
    </font>
    <font>
      <b/>
      <sz val="11"/>
      <color theme="1"/>
      <name val="Almarai"/>
    </font>
    <font>
      <sz val="11"/>
      <color rgb="FF000000"/>
      <name val="Almarai"/>
    </font>
    <font>
      <sz val="11"/>
      <name val="Almarai"/>
    </font>
    <font>
      <b/>
      <sz val="11"/>
      <name val="Almarai"/>
    </font>
    <font>
      <strike/>
      <sz val="11"/>
      <color rgb="FF000000"/>
      <name val="Almarai"/>
    </font>
    <font>
      <sz val="12"/>
      <color rgb="FF000000"/>
      <name val="Almarai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192"/>
        <bgColor indexed="64"/>
      </patternFill>
    </fill>
    <fill>
      <patternFill patternType="solid">
        <fgColor rgb="FF0047D6"/>
        <bgColor indexed="64"/>
      </patternFill>
    </fill>
    <fill>
      <patternFill patternType="solid">
        <fgColor rgb="FF4B87FF"/>
        <bgColor indexed="64"/>
      </patternFill>
    </fill>
    <fill>
      <patternFill patternType="solid">
        <fgColor rgb="FF81AB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4" borderId="2" xfId="0" applyFont="1" applyFill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9" fontId="4" fillId="0" borderId="2" xfId="1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9" fontId="6" fillId="4" borderId="2" xfId="0" applyNumberFormat="1" applyFont="1" applyFill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/>
    </xf>
    <xf numFmtId="9" fontId="7" fillId="0" borderId="2" xfId="1" applyFont="1" applyFill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9" fontId="5" fillId="5" borderId="3" xfId="2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9" fontId="5" fillId="5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right" indent="1" readingOrder="2"/>
    </xf>
    <xf numFmtId="0" fontId="4" fillId="0" borderId="2" xfId="0" applyFont="1" applyBorder="1" applyAlignment="1">
      <alignment horizontal="center"/>
    </xf>
    <xf numFmtId="9" fontId="6" fillId="4" borderId="2" xfId="0" applyNumberFormat="1" applyFont="1" applyFill="1" applyBorder="1" applyAlignment="1">
      <alignment horizontal="center" vertical="center" wrapText="1" readingOrder="1"/>
    </xf>
    <xf numFmtId="9" fontId="4" fillId="7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 wrapText="1" indent="1" readingOrder="2"/>
    </xf>
    <xf numFmtId="0" fontId="4" fillId="0" borderId="2" xfId="0" applyFont="1" applyBorder="1" applyAlignment="1">
      <alignment horizontal="right" indent="1" readingOrder="2"/>
    </xf>
    <xf numFmtId="9" fontId="7" fillId="0" borderId="2" xfId="1" applyFont="1" applyBorder="1" applyAlignment="1">
      <alignment horizontal="center" vertical="center"/>
    </xf>
    <xf numFmtId="9" fontId="6" fillId="7" borderId="2" xfId="0" applyNumberFormat="1" applyFont="1" applyFill="1" applyBorder="1" applyAlignment="1">
      <alignment horizontal="center" vertical="center" wrapText="1" readingOrder="2"/>
    </xf>
    <xf numFmtId="9" fontId="5" fillId="6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inden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9" fontId="5" fillId="8" borderId="2" xfId="2" applyNumberFormat="1" applyFont="1" applyFill="1" applyBorder="1" applyAlignment="1">
      <alignment horizontal="center" vertical="center"/>
    </xf>
    <xf numFmtId="9" fontId="5" fillId="8" borderId="2" xfId="0" applyNumberFormat="1" applyFont="1" applyFill="1" applyBorder="1" applyAlignment="1">
      <alignment horizontal="center" vertical="center"/>
    </xf>
    <xf numFmtId="9" fontId="5" fillId="8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9" fontId="6" fillId="9" borderId="2" xfId="0" applyNumberFormat="1" applyFont="1" applyFill="1" applyBorder="1" applyAlignment="1">
      <alignment horizontal="center" vertical="center" wrapText="1" readingOrder="1"/>
    </xf>
    <xf numFmtId="9" fontId="6" fillId="9" borderId="2" xfId="0" applyNumberFormat="1" applyFont="1" applyFill="1" applyBorder="1" applyAlignment="1">
      <alignment horizontal="center" vertical="center" wrapText="1" readingOrder="2"/>
    </xf>
    <xf numFmtId="9" fontId="4" fillId="9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3" fontId="4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4" fillId="0" borderId="8" xfId="0" applyFont="1" applyBorder="1" applyAlignment="1">
      <alignment horizontal="center" vertical="center"/>
    </xf>
    <xf numFmtId="9" fontId="6" fillId="9" borderId="8" xfId="0" applyNumberFormat="1" applyFont="1" applyFill="1" applyBorder="1" applyAlignment="1">
      <alignment horizontal="center" vertical="center" wrapText="1" readingOrder="2"/>
    </xf>
    <xf numFmtId="9" fontId="4" fillId="0" borderId="8" xfId="1" applyFont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0" borderId="2" xfId="0" applyFont="1" applyBorder="1"/>
    <xf numFmtId="9" fontId="3" fillId="10" borderId="2" xfId="0" applyNumberFormat="1" applyFont="1" applyFill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 wrapText="1" readingOrder="1"/>
    </xf>
    <xf numFmtId="9" fontId="3" fillId="11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9" fontId="4" fillId="9" borderId="8" xfId="1" applyFont="1" applyFill="1" applyBorder="1" applyAlignment="1">
      <alignment horizontal="center" vertical="center"/>
    </xf>
    <xf numFmtId="9" fontId="4" fillId="9" borderId="2" xfId="1" applyFont="1" applyFill="1" applyBorder="1" applyAlignment="1">
      <alignment horizontal="center" vertical="center"/>
    </xf>
    <xf numFmtId="9" fontId="7" fillId="9" borderId="2" xfId="1" applyFont="1" applyFill="1" applyBorder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readingOrder="2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right" readingOrder="2"/>
    </xf>
    <xf numFmtId="0" fontId="5" fillId="3" borderId="5" xfId="0" applyFont="1" applyFill="1" applyBorder="1" applyAlignment="1">
      <alignment horizontal="right" readingOrder="2"/>
    </xf>
    <xf numFmtId="0" fontId="5" fillId="3" borderId="3" xfId="0" applyFont="1" applyFill="1" applyBorder="1" applyAlignment="1">
      <alignment horizontal="right" readingOrder="2"/>
    </xf>
    <xf numFmtId="0" fontId="5" fillId="3" borderId="4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3" fillId="12" borderId="2" xfId="0" applyNumberFormat="1" applyFont="1" applyFill="1" applyBorder="1" applyAlignment="1">
      <alignment horizontal="center" vertical="center"/>
    </xf>
    <xf numFmtId="0" fontId="3" fillId="13" borderId="2" xfId="0" applyNumberFormat="1" applyFont="1" applyFill="1" applyBorder="1" applyAlignment="1">
      <alignment horizontal="center" vertical="center"/>
    </xf>
    <xf numFmtId="0" fontId="4" fillId="0" borderId="8" xfId="1" applyNumberFormat="1" applyFont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2" xfId="1" applyNumberFormat="1" applyFont="1" applyFill="1" applyBorder="1" applyAlignment="1">
      <alignment horizontal="center" vertical="center"/>
    </xf>
    <xf numFmtId="0" fontId="7" fillId="0" borderId="2" xfId="1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 wrapText="1" readingOrder="1"/>
    </xf>
    <xf numFmtId="0" fontId="10" fillId="0" borderId="0" xfId="0" applyNumberFormat="1" applyFont="1" applyAlignment="1">
      <alignment horizontal="center" vertical="center" readingOrder="2"/>
    </xf>
    <xf numFmtId="0" fontId="10" fillId="0" borderId="2" xfId="0" applyNumberFormat="1" applyFont="1" applyBorder="1" applyAlignment="1">
      <alignment horizontal="center" vertical="center" readingOrder="2"/>
    </xf>
    <xf numFmtId="0" fontId="6" fillId="4" borderId="2" xfId="0" applyNumberFormat="1" applyFont="1" applyFill="1" applyBorder="1" applyAlignment="1">
      <alignment horizontal="center" vertical="center" wrapText="1" readingOrder="2"/>
    </xf>
    <xf numFmtId="0" fontId="7" fillId="0" borderId="2" xfId="1" applyNumberFormat="1" applyFont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 wrapText="1" readingOrder="2"/>
    </xf>
    <xf numFmtId="0" fontId="4" fillId="0" borderId="0" xfId="0" applyNumberFormat="1" applyFont="1"/>
  </cellXfs>
  <cellStyles count="3">
    <cellStyle name="Normal" xfId="0" builtinId="0"/>
    <cellStyle name="Percent" xfId="1" builtinId="5"/>
    <cellStyle name="Total" xfId="2" builtinId="25"/>
  </cellStyles>
  <dxfs count="0"/>
  <tableStyles count="0" defaultTableStyle="TableStyleMedium2" defaultPivotStyle="PivotStyleLight16"/>
  <colors>
    <mruColors>
      <color rgb="FF003192"/>
      <color rgb="FF0047D6"/>
      <color rgb="FF4B87FF"/>
      <color rgb="FF81ABFF"/>
      <color rgb="FF002570"/>
      <color rgb="FF0037A4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71CB-B6CB-47F1-BD2B-CF0C9E4C4353}">
  <dimension ref="A1:AB82"/>
  <sheetViews>
    <sheetView rightToLeft="1" tabSelected="1" topLeftCell="D1" zoomScaleNormal="100" workbookViewId="0">
      <selection activeCell="J1" sqref="J1:M1048576"/>
    </sheetView>
  </sheetViews>
  <sheetFormatPr defaultColWidth="9.140625" defaultRowHeight="20.25" x14ac:dyDescent="0.5"/>
  <cols>
    <col min="1" max="1" width="20.42578125" style="29" bestFit="1" customWidth="1"/>
    <col min="2" max="2" width="49.5703125" style="30" bestFit="1" customWidth="1"/>
    <col min="3" max="3" width="8.5703125" style="31" bestFit="1" customWidth="1"/>
    <col min="4" max="4" width="8.28515625" style="32" bestFit="1" customWidth="1"/>
    <col min="5" max="5" width="8.5703125" style="37" bestFit="1" customWidth="1"/>
    <col min="6" max="6" width="13.140625" style="3" bestFit="1" customWidth="1"/>
    <col min="7" max="7" width="13.85546875" style="37" bestFit="1" customWidth="1"/>
    <col min="8" max="8" width="13.140625" style="3" bestFit="1" customWidth="1"/>
    <col min="9" max="9" width="13.85546875" style="37" bestFit="1" customWidth="1"/>
    <col min="10" max="10" width="13.140625" style="88" customWidth="1"/>
    <col min="11" max="11" width="13.85546875" style="88" bestFit="1" customWidth="1"/>
    <col min="12" max="12" width="13.140625" style="88" customWidth="1"/>
    <col min="13" max="13" width="13.85546875" style="88" bestFit="1" customWidth="1"/>
    <col min="14" max="15" width="14.140625" style="37" bestFit="1" customWidth="1"/>
    <col min="16" max="17" width="14.140625" style="3" bestFit="1" customWidth="1"/>
    <col min="18" max="18" width="11.28515625" style="33" bestFit="1" customWidth="1"/>
    <col min="19" max="19" width="9.85546875" style="65" bestFit="1" customWidth="1"/>
    <col min="20" max="24" width="9.140625" style="3"/>
    <col min="25" max="28" width="3.140625" style="3" bestFit="1" customWidth="1"/>
    <col min="29" max="16384" width="9.140625" style="3"/>
  </cols>
  <sheetData>
    <row r="1" spans="1:19" s="54" customFormat="1" ht="30" customHeight="1" x14ac:dyDescent="0.5">
      <c r="A1" s="2" t="s">
        <v>0</v>
      </c>
      <c r="B1" s="2" t="s">
        <v>1</v>
      </c>
      <c r="C1" s="2" t="s">
        <v>2</v>
      </c>
      <c r="D1" s="2" t="s">
        <v>3</v>
      </c>
      <c r="E1" s="59" t="s">
        <v>4</v>
      </c>
      <c r="F1" s="52" t="s">
        <v>94</v>
      </c>
      <c r="G1" s="55" t="s">
        <v>93</v>
      </c>
      <c r="H1" s="53" t="s">
        <v>95</v>
      </c>
      <c r="I1" s="58" t="s">
        <v>96</v>
      </c>
      <c r="J1" s="76" t="s">
        <v>97</v>
      </c>
      <c r="K1" s="76" t="s">
        <v>98</v>
      </c>
      <c r="L1" s="77" t="s">
        <v>99</v>
      </c>
      <c r="M1" s="77" t="s">
        <v>100</v>
      </c>
      <c r="N1" s="59" t="s">
        <v>5</v>
      </c>
      <c r="O1" s="59" t="s">
        <v>6</v>
      </c>
      <c r="P1" s="2" t="s">
        <v>7</v>
      </c>
      <c r="Q1" s="2" t="s">
        <v>8</v>
      </c>
      <c r="R1" s="2" t="s">
        <v>9</v>
      </c>
      <c r="S1" s="59" t="s">
        <v>10</v>
      </c>
    </row>
    <row r="2" spans="1:19" ht="30" customHeight="1" x14ac:dyDescent="0.5">
      <c r="A2" s="68" t="s">
        <v>11</v>
      </c>
      <c r="B2" s="44" t="s">
        <v>67</v>
      </c>
      <c r="C2" s="45" t="s">
        <v>12</v>
      </c>
      <c r="D2" s="46">
        <v>0.75</v>
      </c>
      <c r="E2" s="60">
        <v>0.25</v>
      </c>
      <c r="F2" s="47">
        <v>0.1</v>
      </c>
      <c r="G2" s="48">
        <f>F2/D2</f>
        <v>0.13333333333333333</v>
      </c>
      <c r="H2" s="47">
        <v>0.1</v>
      </c>
      <c r="I2" s="48">
        <f>H2/D2</f>
        <v>0.13333333333333333</v>
      </c>
      <c r="J2" s="78"/>
      <c r="K2" s="79"/>
      <c r="L2" s="78"/>
      <c r="M2" s="79"/>
      <c r="N2" s="49">
        <f t="shared" ref="N2:N7" si="0">G2*E2</f>
        <v>3.3333333333333333E-2</v>
      </c>
      <c r="O2" s="50">
        <f>I2*E2</f>
        <v>3.3333333333333333E-2</v>
      </c>
      <c r="P2" s="51"/>
      <c r="Q2" s="50"/>
      <c r="R2" s="50"/>
      <c r="S2" s="50"/>
    </row>
    <row r="3" spans="1:19" ht="30" customHeight="1" x14ac:dyDescent="0.5">
      <c r="A3" s="68"/>
      <c r="B3" s="4" t="s">
        <v>13</v>
      </c>
      <c r="C3" s="5" t="s">
        <v>12</v>
      </c>
      <c r="D3" s="39">
        <v>0.75</v>
      </c>
      <c r="E3" s="61">
        <v>0.05</v>
      </c>
      <c r="F3" s="6">
        <v>0.96</v>
      </c>
      <c r="G3" s="7">
        <v>1.28</v>
      </c>
      <c r="H3" s="6">
        <v>0.96</v>
      </c>
      <c r="I3" s="7">
        <v>1.28</v>
      </c>
      <c r="J3" s="66"/>
      <c r="K3" s="80"/>
      <c r="L3" s="66"/>
      <c r="M3" s="80"/>
      <c r="N3" s="8">
        <f t="shared" si="0"/>
        <v>6.4000000000000001E-2</v>
      </c>
      <c r="O3" s="50">
        <f t="shared" ref="O3:O7" si="1">I3*E3</f>
        <v>6.4000000000000001E-2</v>
      </c>
      <c r="P3" s="10"/>
      <c r="Q3" s="9"/>
      <c r="R3" s="9"/>
      <c r="S3" s="9"/>
    </row>
    <row r="4" spans="1:19" ht="30" customHeight="1" x14ac:dyDescent="0.5">
      <c r="A4" s="68"/>
      <c r="B4" s="4" t="s">
        <v>14</v>
      </c>
      <c r="C4" s="5" t="s">
        <v>12</v>
      </c>
      <c r="D4" s="43">
        <v>3</v>
      </c>
      <c r="E4" s="61">
        <v>0.2</v>
      </c>
      <c r="F4" s="6">
        <v>0</v>
      </c>
      <c r="G4" s="7">
        <v>0</v>
      </c>
      <c r="H4" s="6">
        <v>0</v>
      </c>
      <c r="I4" s="7">
        <v>0</v>
      </c>
      <c r="J4" s="66"/>
      <c r="K4" s="80"/>
      <c r="L4" s="66"/>
      <c r="M4" s="80"/>
      <c r="N4" s="8">
        <f t="shared" si="0"/>
        <v>0</v>
      </c>
      <c r="O4" s="50">
        <f t="shared" si="1"/>
        <v>0</v>
      </c>
      <c r="P4" s="10"/>
      <c r="Q4" s="9"/>
      <c r="R4" s="9"/>
      <c r="S4" s="9"/>
    </row>
    <row r="5" spans="1:19" ht="30" customHeight="1" x14ac:dyDescent="0.5">
      <c r="A5" s="68"/>
      <c r="B5" s="4" t="s">
        <v>15</v>
      </c>
      <c r="C5" s="5" t="s">
        <v>12</v>
      </c>
      <c r="D5" s="43">
        <v>4</v>
      </c>
      <c r="E5" s="61">
        <v>0.1</v>
      </c>
      <c r="F5" s="6">
        <v>0</v>
      </c>
      <c r="G5" s="7">
        <v>0</v>
      </c>
      <c r="H5" s="6">
        <v>0</v>
      </c>
      <c r="I5" s="7">
        <v>0</v>
      </c>
      <c r="J5" s="66"/>
      <c r="K5" s="80"/>
      <c r="L5" s="66"/>
      <c r="M5" s="80"/>
      <c r="N5" s="8">
        <f t="shared" si="0"/>
        <v>0</v>
      </c>
      <c r="O5" s="50">
        <f t="shared" si="1"/>
        <v>0</v>
      </c>
      <c r="P5" s="10"/>
      <c r="Q5" s="9"/>
      <c r="R5" s="9"/>
      <c r="S5" s="9"/>
    </row>
    <row r="6" spans="1:19" ht="30" customHeight="1" x14ac:dyDescent="0.5">
      <c r="A6" s="68"/>
      <c r="B6" s="4" t="s">
        <v>16</v>
      </c>
      <c r="C6" s="12" t="s">
        <v>12</v>
      </c>
      <c r="D6" s="38" t="s">
        <v>68</v>
      </c>
      <c r="E6" s="62">
        <v>0.2</v>
      </c>
      <c r="F6" s="13">
        <v>0.32</v>
      </c>
      <c r="G6" s="13">
        <v>0</v>
      </c>
      <c r="H6" s="13">
        <v>0.32</v>
      </c>
      <c r="I6" s="13">
        <v>0</v>
      </c>
      <c r="J6" s="81"/>
      <c r="K6" s="81"/>
      <c r="L6" s="81"/>
      <c r="M6" s="81"/>
      <c r="N6" s="8">
        <f t="shared" si="0"/>
        <v>0</v>
      </c>
      <c r="O6" s="50">
        <f t="shared" si="1"/>
        <v>0</v>
      </c>
      <c r="P6" s="10"/>
      <c r="Q6" s="9"/>
      <c r="R6" s="9"/>
      <c r="S6" s="9"/>
    </row>
    <row r="7" spans="1:19" ht="30" customHeight="1" x14ac:dyDescent="0.5">
      <c r="A7" s="68"/>
      <c r="B7" s="4" t="s">
        <v>17</v>
      </c>
      <c r="C7" s="5" t="s">
        <v>12</v>
      </c>
      <c r="D7" s="43">
        <v>7</v>
      </c>
      <c r="E7" s="61">
        <v>0.2</v>
      </c>
      <c r="F7" s="6">
        <v>0</v>
      </c>
      <c r="G7" s="7">
        <v>0</v>
      </c>
      <c r="H7" s="6">
        <v>0</v>
      </c>
      <c r="I7" s="7">
        <v>0</v>
      </c>
      <c r="J7" s="66"/>
      <c r="K7" s="80"/>
      <c r="L7" s="66"/>
      <c r="M7" s="80"/>
      <c r="N7" s="8">
        <f t="shared" si="0"/>
        <v>0</v>
      </c>
      <c r="O7" s="50">
        <f t="shared" si="1"/>
        <v>0</v>
      </c>
      <c r="P7" s="10"/>
      <c r="Q7" s="9"/>
      <c r="R7" s="9"/>
      <c r="S7" s="9"/>
    </row>
    <row r="8" spans="1:19" ht="37.5" customHeight="1" x14ac:dyDescent="0.5">
      <c r="A8" s="68"/>
      <c r="B8" s="72" t="s">
        <v>19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4"/>
      <c r="N8" s="15">
        <f>SUM(N2:N7)</f>
        <v>9.7333333333333327E-2</v>
      </c>
      <c r="O8" s="16">
        <f>SUM(O2:O7)</f>
        <v>9.7333333333333327E-2</v>
      </c>
      <c r="P8" s="17">
        <f>SUM(P2:P7)</f>
        <v>0</v>
      </c>
      <c r="Q8" s="16">
        <f>SUM(Q2:Q7)</f>
        <v>0</v>
      </c>
      <c r="R8" s="18" t="s">
        <v>20</v>
      </c>
      <c r="S8" s="19">
        <f>SUM(S2:S7)</f>
        <v>0</v>
      </c>
    </row>
    <row r="9" spans="1:19" ht="30" customHeight="1" x14ac:dyDescent="0.5">
      <c r="A9" s="1" t="s">
        <v>0</v>
      </c>
      <c r="B9" s="2" t="s">
        <v>1</v>
      </c>
      <c r="C9" s="2" t="s">
        <v>2</v>
      </c>
      <c r="D9" s="2" t="s">
        <v>3</v>
      </c>
      <c r="E9" s="59" t="s">
        <v>4</v>
      </c>
      <c r="F9" s="52" t="s">
        <v>94</v>
      </c>
      <c r="G9" s="55" t="s">
        <v>93</v>
      </c>
      <c r="H9" s="53" t="s">
        <v>95</v>
      </c>
      <c r="I9" s="58" t="s">
        <v>96</v>
      </c>
      <c r="J9" s="76" t="s">
        <v>97</v>
      </c>
      <c r="K9" s="76" t="s">
        <v>98</v>
      </c>
      <c r="L9" s="77" t="s">
        <v>99</v>
      </c>
      <c r="M9" s="77" t="s">
        <v>100</v>
      </c>
      <c r="N9" s="63" t="s">
        <v>5</v>
      </c>
      <c r="O9" s="63" t="s">
        <v>6</v>
      </c>
      <c r="P9" s="1" t="s">
        <v>7</v>
      </c>
      <c r="Q9" s="2" t="s">
        <v>8</v>
      </c>
      <c r="R9" s="2" t="s">
        <v>9</v>
      </c>
      <c r="S9" s="64" t="s">
        <v>10</v>
      </c>
    </row>
    <row r="10" spans="1:19" ht="30" customHeight="1" x14ac:dyDescent="0.5">
      <c r="A10" s="68" t="s">
        <v>21</v>
      </c>
      <c r="B10" s="20" t="s">
        <v>22</v>
      </c>
      <c r="C10" s="21" t="s">
        <v>12</v>
      </c>
      <c r="D10" s="42">
        <v>4</v>
      </c>
      <c r="E10" s="38">
        <v>0.2</v>
      </c>
      <c r="F10" s="57">
        <v>1</v>
      </c>
      <c r="G10" s="6">
        <f>F10/D10</f>
        <v>0.25</v>
      </c>
      <c r="H10" s="57">
        <v>1</v>
      </c>
      <c r="I10" s="6">
        <f>H10/D10</f>
        <v>0.25</v>
      </c>
      <c r="J10" s="82"/>
      <c r="K10" s="66"/>
      <c r="L10" s="82"/>
      <c r="M10" s="66"/>
      <c r="N10" s="8">
        <f>G10*E10</f>
        <v>0.05</v>
      </c>
      <c r="O10" s="9">
        <f>I10*E10</f>
        <v>0.05</v>
      </c>
      <c r="P10" s="10"/>
      <c r="Q10" s="23"/>
      <c r="R10" s="9"/>
      <c r="S10" s="9"/>
    </row>
    <row r="11" spans="1:19" ht="30" customHeight="1" x14ac:dyDescent="0.5">
      <c r="A11" s="68"/>
      <c r="B11" s="20" t="s">
        <v>23</v>
      </c>
      <c r="C11" s="21" t="s">
        <v>12</v>
      </c>
      <c r="D11" s="41">
        <v>350</v>
      </c>
      <c r="E11" s="38">
        <v>0.35</v>
      </c>
      <c r="F11" s="57">
        <v>210</v>
      </c>
      <c r="G11" s="6">
        <f>F11/D11</f>
        <v>0.6</v>
      </c>
      <c r="H11" s="57">
        <v>209</v>
      </c>
      <c r="I11" s="6">
        <f t="shared" ref="I11:I13" si="2">H11/D11</f>
        <v>0.5971428571428572</v>
      </c>
      <c r="J11" s="82"/>
      <c r="K11" s="66"/>
      <c r="L11" s="82"/>
      <c r="M11" s="66"/>
      <c r="N11" s="8">
        <f t="shared" ref="N11:N13" si="3">G11*E11</f>
        <v>0.21</v>
      </c>
      <c r="O11" s="9">
        <f t="shared" ref="O11:O13" si="4">I11*E11</f>
        <v>0.20900000000000002</v>
      </c>
      <c r="P11" s="10"/>
      <c r="Q11" s="23"/>
      <c r="R11" s="9"/>
      <c r="S11" s="9"/>
    </row>
    <row r="12" spans="1:19" ht="30" customHeight="1" x14ac:dyDescent="0.5">
      <c r="A12" s="68"/>
      <c r="B12" s="20" t="s">
        <v>24</v>
      </c>
      <c r="C12" s="21" t="s">
        <v>12</v>
      </c>
      <c r="D12" s="40">
        <v>0.25</v>
      </c>
      <c r="E12" s="38">
        <v>0.3</v>
      </c>
      <c r="F12" s="22">
        <v>0.1346</v>
      </c>
      <c r="G12" s="6">
        <f>F12/D12</f>
        <v>0.53839999999999999</v>
      </c>
      <c r="H12" s="22">
        <v>0.35699999999999998</v>
      </c>
      <c r="I12" s="6">
        <f t="shared" si="2"/>
        <v>1.4279999999999999</v>
      </c>
      <c r="J12" s="82"/>
      <c r="K12" s="83"/>
      <c r="L12" s="82"/>
      <c r="M12" s="84"/>
      <c r="N12" s="8">
        <f t="shared" si="3"/>
        <v>0.16152</v>
      </c>
      <c r="O12" s="9">
        <f t="shared" si="4"/>
        <v>0.42839999999999995</v>
      </c>
      <c r="P12" s="10"/>
      <c r="Q12" s="23"/>
      <c r="R12" s="9"/>
      <c r="S12" s="9"/>
    </row>
    <row r="13" spans="1:19" ht="30" customHeight="1" x14ac:dyDescent="0.5">
      <c r="A13" s="68"/>
      <c r="B13" s="20" t="s">
        <v>25</v>
      </c>
      <c r="C13" s="21" t="s">
        <v>12</v>
      </c>
      <c r="D13" s="40">
        <v>0.8</v>
      </c>
      <c r="E13" s="38">
        <v>0.15</v>
      </c>
      <c r="F13" s="22">
        <v>0.81</v>
      </c>
      <c r="G13" s="6">
        <f t="shared" ref="G13" si="5">F13/D13</f>
        <v>1.0125</v>
      </c>
      <c r="H13" s="22">
        <v>0.98</v>
      </c>
      <c r="I13" s="6">
        <f t="shared" si="2"/>
        <v>1.2249999999999999</v>
      </c>
      <c r="J13" s="82"/>
      <c r="K13" s="66"/>
      <c r="L13" s="82"/>
      <c r="M13" s="66"/>
      <c r="N13" s="8">
        <f t="shared" si="3"/>
        <v>0.15187499999999998</v>
      </c>
      <c r="O13" s="9">
        <f t="shared" si="4"/>
        <v>0.18374999999999997</v>
      </c>
      <c r="P13" s="10"/>
      <c r="Q13" s="23"/>
      <c r="R13" s="9"/>
      <c r="S13" s="9"/>
    </row>
    <row r="14" spans="1:19" ht="36.950000000000003" customHeight="1" x14ac:dyDescent="0.5">
      <c r="A14" s="68"/>
      <c r="B14" s="72" t="s">
        <v>19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4"/>
      <c r="N14" s="15">
        <f>SUM(N10:N13)</f>
        <v>0.57339499999999999</v>
      </c>
      <c r="O14" s="16">
        <f>SUM(O10:O13)</f>
        <v>0.87114999999999998</v>
      </c>
      <c r="P14" s="17">
        <f>SUM(P10:P13)</f>
        <v>0</v>
      </c>
      <c r="Q14" s="16">
        <f>SUM(Q10:Q13)</f>
        <v>0</v>
      </c>
      <c r="R14" s="18" t="s">
        <v>20</v>
      </c>
      <c r="S14" s="19">
        <f>SUM(S10:S13)</f>
        <v>0</v>
      </c>
    </row>
    <row r="15" spans="1:19" ht="30" customHeight="1" x14ac:dyDescent="0.5">
      <c r="A15" s="1" t="s">
        <v>0</v>
      </c>
      <c r="B15" s="2" t="s">
        <v>1</v>
      </c>
      <c r="C15" s="2" t="s">
        <v>2</v>
      </c>
      <c r="D15" s="2" t="s">
        <v>3</v>
      </c>
      <c r="E15" s="59" t="s">
        <v>4</v>
      </c>
      <c r="F15" s="52" t="s">
        <v>94</v>
      </c>
      <c r="G15" s="55" t="s">
        <v>93</v>
      </c>
      <c r="H15" s="53" t="s">
        <v>95</v>
      </c>
      <c r="I15" s="58" t="s">
        <v>96</v>
      </c>
      <c r="J15" s="76" t="s">
        <v>97</v>
      </c>
      <c r="K15" s="76" t="s">
        <v>98</v>
      </c>
      <c r="L15" s="77" t="s">
        <v>99</v>
      </c>
      <c r="M15" s="77" t="s">
        <v>100</v>
      </c>
      <c r="N15" s="63" t="s">
        <v>5</v>
      </c>
      <c r="O15" s="63" t="s">
        <v>6</v>
      </c>
      <c r="P15" s="1" t="s">
        <v>7</v>
      </c>
      <c r="Q15" s="2" t="s">
        <v>8</v>
      </c>
      <c r="R15" s="2" t="s">
        <v>9</v>
      </c>
      <c r="S15" s="64" t="s">
        <v>10</v>
      </c>
    </row>
    <row r="16" spans="1:19" ht="30" customHeight="1" x14ac:dyDescent="0.5">
      <c r="A16" s="68" t="s">
        <v>26</v>
      </c>
      <c r="B16" s="20" t="s">
        <v>69</v>
      </c>
      <c r="C16" s="5" t="s">
        <v>12</v>
      </c>
      <c r="D16" s="40">
        <v>0.9</v>
      </c>
      <c r="E16" s="39">
        <v>0.3</v>
      </c>
      <c r="F16" s="11">
        <v>0.85</v>
      </c>
      <c r="G16" s="6">
        <f>F16/D16</f>
        <v>0.94444444444444442</v>
      </c>
      <c r="H16" s="11">
        <v>0.85</v>
      </c>
      <c r="I16" s="6">
        <f>H16/D16</f>
        <v>0.94444444444444442</v>
      </c>
      <c r="J16" s="85"/>
      <c r="K16" s="66"/>
      <c r="L16" s="85"/>
      <c r="M16" s="66"/>
      <c r="N16" s="8">
        <f t="shared" ref="N16:N22" si="6">G16*E16</f>
        <v>0.28333333333333333</v>
      </c>
      <c r="O16" s="9">
        <f>I16*E16</f>
        <v>0.28333333333333333</v>
      </c>
      <c r="P16" s="10"/>
      <c r="Q16" s="9"/>
      <c r="R16" s="9"/>
      <c r="S16" s="9"/>
    </row>
    <row r="17" spans="1:19" ht="30" customHeight="1" x14ac:dyDescent="0.5">
      <c r="A17" s="68"/>
      <c r="B17" s="20" t="s">
        <v>27</v>
      </c>
      <c r="C17" s="5" t="s">
        <v>12</v>
      </c>
      <c r="D17" s="40">
        <v>1</v>
      </c>
      <c r="E17" s="39">
        <v>0.05</v>
      </c>
      <c r="F17" s="11">
        <v>0.89</v>
      </c>
      <c r="G17" s="6">
        <f t="shared" ref="G17:G22" si="7">F17/D17</f>
        <v>0.89</v>
      </c>
      <c r="H17" s="11">
        <v>1</v>
      </c>
      <c r="I17" s="6">
        <f t="shared" ref="I17:I22" si="8">H17/D17</f>
        <v>1</v>
      </c>
      <c r="J17" s="85"/>
      <c r="K17" s="66"/>
      <c r="L17" s="85"/>
      <c r="M17" s="66"/>
      <c r="N17" s="8">
        <f t="shared" si="6"/>
        <v>4.4500000000000005E-2</v>
      </c>
      <c r="O17" s="9">
        <f t="shared" ref="O17:O22" si="9">I17*E17</f>
        <v>0.05</v>
      </c>
      <c r="P17" s="10"/>
      <c r="Q17" s="9"/>
      <c r="R17" s="9"/>
      <c r="S17" s="9"/>
    </row>
    <row r="18" spans="1:19" ht="30" customHeight="1" x14ac:dyDescent="0.5">
      <c r="A18" s="68"/>
      <c r="B18" s="20" t="s">
        <v>70</v>
      </c>
      <c r="C18" s="5" t="s">
        <v>28</v>
      </c>
      <c r="D18" s="40">
        <v>0.01</v>
      </c>
      <c r="E18" s="39">
        <v>0.15</v>
      </c>
      <c r="F18" s="11">
        <v>9.1999999999999998E-3</v>
      </c>
      <c r="G18" s="6">
        <f t="shared" si="7"/>
        <v>0.91999999999999993</v>
      </c>
      <c r="H18" s="11">
        <v>8.6999999999999994E-3</v>
      </c>
      <c r="I18" s="6">
        <f t="shared" si="8"/>
        <v>0.86999999999999988</v>
      </c>
      <c r="J18" s="85"/>
      <c r="K18" s="80"/>
      <c r="L18" s="85"/>
      <c r="M18" s="80"/>
      <c r="N18" s="8">
        <f t="shared" si="6"/>
        <v>0.13799999999999998</v>
      </c>
      <c r="O18" s="9">
        <f t="shared" si="9"/>
        <v>0.13049999999999998</v>
      </c>
      <c r="P18" s="10"/>
      <c r="Q18" s="9"/>
      <c r="R18" s="9"/>
      <c r="S18" s="9"/>
    </row>
    <row r="19" spans="1:19" ht="30" customHeight="1" x14ac:dyDescent="0.5">
      <c r="A19" s="68"/>
      <c r="B19" s="20" t="s">
        <v>29</v>
      </c>
      <c r="C19" s="5" t="s">
        <v>12</v>
      </c>
      <c r="D19" s="40">
        <v>0.95</v>
      </c>
      <c r="E19" s="39">
        <v>0.15</v>
      </c>
      <c r="F19" s="11">
        <v>0.87</v>
      </c>
      <c r="G19" s="6">
        <f t="shared" si="7"/>
        <v>0.9157894736842106</v>
      </c>
      <c r="H19" s="11">
        <v>0.9</v>
      </c>
      <c r="I19" s="6">
        <f t="shared" si="8"/>
        <v>0.94736842105263164</v>
      </c>
      <c r="J19" s="85"/>
      <c r="K19" s="66"/>
      <c r="L19" s="85"/>
      <c r="M19" s="66"/>
      <c r="N19" s="8">
        <f t="shared" si="6"/>
        <v>0.13736842105263158</v>
      </c>
      <c r="O19" s="9">
        <f t="shared" si="9"/>
        <v>0.14210526315789473</v>
      </c>
      <c r="P19" s="10"/>
      <c r="Q19" s="9"/>
      <c r="R19" s="9"/>
      <c r="S19" s="9"/>
    </row>
    <row r="20" spans="1:19" ht="30" customHeight="1" x14ac:dyDescent="0.5">
      <c r="A20" s="68"/>
      <c r="B20" s="20" t="s">
        <v>30</v>
      </c>
      <c r="C20" s="5" t="s">
        <v>12</v>
      </c>
      <c r="D20" s="40">
        <v>1</v>
      </c>
      <c r="E20" s="39">
        <v>0.15</v>
      </c>
      <c r="F20" s="11">
        <v>1</v>
      </c>
      <c r="G20" s="6">
        <f t="shared" si="7"/>
        <v>1</v>
      </c>
      <c r="H20" s="11">
        <v>1</v>
      </c>
      <c r="I20" s="6">
        <f t="shared" si="8"/>
        <v>1</v>
      </c>
      <c r="J20" s="85"/>
      <c r="K20" s="66"/>
      <c r="L20" s="85"/>
      <c r="M20" s="66"/>
      <c r="N20" s="8">
        <f t="shared" si="6"/>
        <v>0.15</v>
      </c>
      <c r="O20" s="9">
        <f t="shared" si="9"/>
        <v>0.15</v>
      </c>
      <c r="P20" s="10"/>
      <c r="Q20" s="9"/>
      <c r="R20" s="9"/>
      <c r="S20" s="9"/>
    </row>
    <row r="21" spans="1:19" ht="30" customHeight="1" x14ac:dyDescent="0.5">
      <c r="A21" s="68"/>
      <c r="B21" s="20" t="s">
        <v>31</v>
      </c>
      <c r="C21" s="5" t="s">
        <v>12</v>
      </c>
      <c r="D21" s="40">
        <v>0.9</v>
      </c>
      <c r="E21" s="39">
        <v>0.1</v>
      </c>
      <c r="F21" s="11">
        <v>0.96</v>
      </c>
      <c r="G21" s="6">
        <f t="shared" si="7"/>
        <v>1.0666666666666667</v>
      </c>
      <c r="H21" s="11">
        <v>0.98</v>
      </c>
      <c r="I21" s="6">
        <f t="shared" si="8"/>
        <v>1.0888888888888888</v>
      </c>
      <c r="J21" s="85"/>
      <c r="K21" s="66"/>
      <c r="L21" s="85"/>
      <c r="M21" s="66"/>
      <c r="N21" s="8">
        <f t="shared" si="6"/>
        <v>0.10666666666666667</v>
      </c>
      <c r="O21" s="9">
        <f t="shared" si="9"/>
        <v>0.10888888888888888</v>
      </c>
      <c r="P21" s="10"/>
      <c r="Q21" s="9"/>
      <c r="R21" s="9"/>
      <c r="S21" s="9"/>
    </row>
    <row r="22" spans="1:19" ht="30" customHeight="1" x14ac:dyDescent="0.5">
      <c r="A22" s="68"/>
      <c r="B22" s="20" t="s">
        <v>32</v>
      </c>
      <c r="C22" s="5" t="s">
        <v>12</v>
      </c>
      <c r="D22" s="40">
        <v>0.9</v>
      </c>
      <c r="E22" s="39">
        <v>0.1</v>
      </c>
      <c r="F22" s="11">
        <v>0.8</v>
      </c>
      <c r="G22" s="6">
        <f t="shared" si="7"/>
        <v>0.88888888888888895</v>
      </c>
      <c r="H22" s="11">
        <v>0.87</v>
      </c>
      <c r="I22" s="6">
        <f t="shared" si="8"/>
        <v>0.96666666666666667</v>
      </c>
      <c r="J22" s="85"/>
      <c r="K22" s="66"/>
      <c r="L22" s="85"/>
      <c r="M22" s="66"/>
      <c r="N22" s="8">
        <f t="shared" si="6"/>
        <v>8.8888888888888906E-2</v>
      </c>
      <c r="O22" s="9">
        <f t="shared" si="9"/>
        <v>9.6666666666666679E-2</v>
      </c>
      <c r="P22" s="10"/>
      <c r="Q22" s="9"/>
      <c r="R22" s="9"/>
      <c r="S22" s="9"/>
    </row>
    <row r="23" spans="1:19" ht="30" customHeight="1" x14ac:dyDescent="0.5">
      <c r="A23" s="68"/>
      <c r="B23" s="69" t="s">
        <v>19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  <c r="N23" s="15">
        <f>SUM(N16:N22)</f>
        <v>0.94875730994152052</v>
      </c>
      <c r="O23" s="16">
        <f>SUM(O16:O22)</f>
        <v>0.96149415204678368</v>
      </c>
      <c r="P23" s="17">
        <f>SUM(P16:P22)</f>
        <v>0</v>
      </c>
      <c r="Q23" s="16">
        <f>SUM(Q16:Q22)</f>
        <v>0</v>
      </c>
      <c r="R23" s="18" t="s">
        <v>20</v>
      </c>
      <c r="S23" s="19">
        <f>SUM(S16:S22)</f>
        <v>0</v>
      </c>
    </row>
    <row r="24" spans="1:19" ht="30" customHeight="1" x14ac:dyDescent="0.5">
      <c r="A24" s="1" t="s">
        <v>0</v>
      </c>
      <c r="B24" s="2" t="s">
        <v>1</v>
      </c>
      <c r="C24" s="2" t="s">
        <v>2</v>
      </c>
      <c r="D24" s="2" t="s">
        <v>3</v>
      </c>
      <c r="E24" s="59" t="s">
        <v>4</v>
      </c>
      <c r="F24" s="52" t="s">
        <v>94</v>
      </c>
      <c r="G24" s="55" t="s">
        <v>93</v>
      </c>
      <c r="H24" s="53" t="s">
        <v>95</v>
      </c>
      <c r="I24" s="58" t="s">
        <v>96</v>
      </c>
      <c r="J24" s="76" t="s">
        <v>97</v>
      </c>
      <c r="K24" s="76" t="s">
        <v>98</v>
      </c>
      <c r="L24" s="77" t="s">
        <v>99</v>
      </c>
      <c r="M24" s="77" t="s">
        <v>100</v>
      </c>
      <c r="N24" s="63" t="s">
        <v>5</v>
      </c>
      <c r="O24" s="63" t="s">
        <v>6</v>
      </c>
      <c r="P24" s="1" t="s">
        <v>7</v>
      </c>
      <c r="Q24" s="2" t="s">
        <v>8</v>
      </c>
      <c r="R24" s="2" t="s">
        <v>9</v>
      </c>
      <c r="S24" s="64" t="s">
        <v>10</v>
      </c>
    </row>
    <row r="25" spans="1:19" ht="30" customHeight="1" x14ac:dyDescent="0.5">
      <c r="A25" s="68" t="s">
        <v>33</v>
      </c>
      <c r="B25" s="20" t="s">
        <v>77</v>
      </c>
      <c r="C25" s="5" t="s">
        <v>12</v>
      </c>
      <c r="D25" s="41">
        <v>1</v>
      </c>
      <c r="E25" s="61">
        <v>0.25</v>
      </c>
      <c r="F25" s="66">
        <v>0</v>
      </c>
      <c r="G25" s="6">
        <f>F25/D25</f>
        <v>0</v>
      </c>
      <c r="H25" s="66">
        <v>0</v>
      </c>
      <c r="I25" s="6">
        <f>H25/D25</f>
        <v>0</v>
      </c>
      <c r="J25" s="66"/>
      <c r="K25" s="66"/>
      <c r="L25" s="66"/>
      <c r="M25" s="66"/>
      <c r="N25" s="8">
        <f>G25*E25</f>
        <v>0</v>
      </c>
      <c r="O25" s="9">
        <f>I25*E25</f>
        <v>0</v>
      </c>
      <c r="P25" s="10"/>
      <c r="Q25" s="9"/>
      <c r="R25" s="9"/>
      <c r="S25" s="9"/>
    </row>
    <row r="26" spans="1:19" ht="30" customHeight="1" x14ac:dyDescent="0.5">
      <c r="A26" s="68"/>
      <c r="B26" s="20" t="s">
        <v>34</v>
      </c>
      <c r="C26" s="5" t="s">
        <v>12</v>
      </c>
      <c r="D26" s="41">
        <v>1</v>
      </c>
      <c r="E26" s="61">
        <v>0.1</v>
      </c>
      <c r="F26" s="66">
        <v>0</v>
      </c>
      <c r="G26" s="6">
        <f t="shared" ref="G26:G28" si="10">F26/D26</f>
        <v>0</v>
      </c>
      <c r="H26" s="66">
        <v>0</v>
      </c>
      <c r="I26" s="6">
        <f t="shared" ref="I26:I28" si="11">H26/D26</f>
        <v>0</v>
      </c>
      <c r="J26" s="66"/>
      <c r="K26" s="66"/>
      <c r="L26" s="66"/>
      <c r="M26" s="66"/>
      <c r="N26" s="8">
        <f t="shared" ref="N26:N28" si="12">G26*E26</f>
        <v>0</v>
      </c>
      <c r="O26" s="9">
        <f t="shared" ref="O26:O28" si="13">I26*E26</f>
        <v>0</v>
      </c>
      <c r="P26" s="10"/>
      <c r="Q26" s="9"/>
      <c r="R26" s="9"/>
      <c r="S26" s="9"/>
    </row>
    <row r="27" spans="1:19" ht="30" customHeight="1" x14ac:dyDescent="0.5">
      <c r="A27" s="68"/>
      <c r="B27" s="20" t="s">
        <v>35</v>
      </c>
      <c r="C27" s="5" t="s">
        <v>12</v>
      </c>
      <c r="D27" s="61">
        <v>1</v>
      </c>
      <c r="E27" s="61">
        <v>0.3</v>
      </c>
      <c r="F27" s="6">
        <v>1</v>
      </c>
      <c r="G27" s="6">
        <f t="shared" si="10"/>
        <v>1</v>
      </c>
      <c r="H27" s="6">
        <v>1</v>
      </c>
      <c r="I27" s="6">
        <f t="shared" si="11"/>
        <v>1</v>
      </c>
      <c r="J27" s="66"/>
      <c r="K27" s="66"/>
      <c r="L27" s="66"/>
      <c r="M27" s="66"/>
      <c r="N27" s="8">
        <f t="shared" si="12"/>
        <v>0.3</v>
      </c>
      <c r="O27" s="9">
        <f t="shared" si="13"/>
        <v>0.3</v>
      </c>
      <c r="P27" s="10"/>
      <c r="Q27" s="9"/>
      <c r="R27" s="9"/>
      <c r="S27" s="9"/>
    </row>
    <row r="28" spans="1:19" ht="30" customHeight="1" x14ac:dyDescent="0.5">
      <c r="A28" s="68"/>
      <c r="B28" s="20" t="s">
        <v>36</v>
      </c>
      <c r="C28" s="5" t="s">
        <v>12</v>
      </c>
      <c r="D28" s="61">
        <v>1</v>
      </c>
      <c r="E28" s="61">
        <v>0.35</v>
      </c>
      <c r="F28" s="6">
        <v>1</v>
      </c>
      <c r="G28" s="6">
        <f t="shared" si="10"/>
        <v>1</v>
      </c>
      <c r="H28" s="6">
        <v>1</v>
      </c>
      <c r="I28" s="6">
        <f t="shared" si="11"/>
        <v>1</v>
      </c>
      <c r="J28" s="66"/>
      <c r="K28" s="66"/>
      <c r="L28" s="66"/>
      <c r="M28" s="66"/>
      <c r="N28" s="8">
        <f t="shared" si="12"/>
        <v>0.35</v>
      </c>
      <c r="O28" s="9">
        <f t="shared" si="13"/>
        <v>0.35</v>
      </c>
      <c r="P28" s="10"/>
      <c r="Q28" s="9"/>
      <c r="R28" s="9"/>
      <c r="S28" s="9"/>
    </row>
    <row r="29" spans="1:19" ht="30" customHeight="1" x14ac:dyDescent="0.5">
      <c r="A29" s="68"/>
      <c r="B29" s="69" t="s">
        <v>19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15">
        <f>SUM(N25:N28)</f>
        <v>0.64999999999999991</v>
      </c>
      <c r="O29" s="16">
        <f>SUM(O25:O28)</f>
        <v>0.64999999999999991</v>
      </c>
      <c r="P29" s="17">
        <f>SUM(P25:P28)</f>
        <v>0</v>
      </c>
      <c r="Q29" s="16">
        <f>SUM(Q25:Q28)</f>
        <v>0</v>
      </c>
      <c r="R29" s="18" t="s">
        <v>20</v>
      </c>
      <c r="S29" s="19">
        <f>SUM(S25:S28)</f>
        <v>0</v>
      </c>
    </row>
    <row r="30" spans="1:19" ht="30" customHeight="1" x14ac:dyDescent="0.5">
      <c r="A30" s="1" t="s">
        <v>0</v>
      </c>
      <c r="B30" s="2" t="s">
        <v>1</v>
      </c>
      <c r="C30" s="2" t="s">
        <v>2</v>
      </c>
      <c r="D30" s="2" t="s">
        <v>3</v>
      </c>
      <c r="E30" s="59" t="s">
        <v>4</v>
      </c>
      <c r="F30" s="52" t="s">
        <v>94</v>
      </c>
      <c r="G30" s="55" t="s">
        <v>93</v>
      </c>
      <c r="H30" s="53" t="s">
        <v>95</v>
      </c>
      <c r="I30" s="58" t="s">
        <v>96</v>
      </c>
      <c r="J30" s="76" t="s">
        <v>97</v>
      </c>
      <c r="K30" s="76" t="s">
        <v>98</v>
      </c>
      <c r="L30" s="77" t="s">
        <v>99</v>
      </c>
      <c r="M30" s="77" t="s">
        <v>100</v>
      </c>
      <c r="N30" s="63" t="s">
        <v>5</v>
      </c>
      <c r="O30" s="63" t="s">
        <v>6</v>
      </c>
      <c r="P30" s="1" t="s">
        <v>7</v>
      </c>
      <c r="Q30" s="2" t="s">
        <v>8</v>
      </c>
      <c r="R30" s="2" t="s">
        <v>9</v>
      </c>
      <c r="S30" s="64" t="s">
        <v>10</v>
      </c>
    </row>
    <row r="31" spans="1:19" ht="30" customHeight="1" x14ac:dyDescent="0.5">
      <c r="A31" s="68" t="s">
        <v>37</v>
      </c>
      <c r="B31" s="24" t="s">
        <v>71</v>
      </c>
      <c r="C31" s="5" t="s">
        <v>12</v>
      </c>
      <c r="D31" s="40">
        <v>0.2</v>
      </c>
      <c r="E31" s="61">
        <v>0.1</v>
      </c>
      <c r="F31" s="6">
        <v>1.7999999999999999E-2</v>
      </c>
      <c r="G31" s="6">
        <f>F31/D31</f>
        <v>8.9999999999999983E-2</v>
      </c>
      <c r="H31" s="6">
        <v>7.6999999999999999E-2</v>
      </c>
      <c r="I31" s="6">
        <f>H31/D31</f>
        <v>0.38499999999999995</v>
      </c>
      <c r="J31" s="66"/>
      <c r="K31" s="66"/>
      <c r="L31" s="66"/>
      <c r="M31" s="66"/>
      <c r="N31" s="8">
        <f>G31*E31</f>
        <v>8.9999999999999993E-3</v>
      </c>
      <c r="O31" s="9">
        <f>I31*E31</f>
        <v>3.85E-2</v>
      </c>
      <c r="P31" s="10"/>
      <c r="Q31" s="9"/>
      <c r="R31" s="9"/>
      <c r="S31" s="9"/>
    </row>
    <row r="32" spans="1:19" ht="30" customHeight="1" x14ac:dyDescent="0.5">
      <c r="A32" s="68"/>
      <c r="B32" s="24" t="s">
        <v>38</v>
      </c>
      <c r="C32" s="5" t="s">
        <v>12</v>
      </c>
      <c r="D32" s="40">
        <v>0.9</v>
      </c>
      <c r="E32" s="61">
        <v>0.2</v>
      </c>
      <c r="F32" s="6">
        <v>0.92</v>
      </c>
      <c r="G32" s="6">
        <f>F32/D32</f>
        <v>1.0222222222222221</v>
      </c>
      <c r="H32" s="6">
        <v>0.94</v>
      </c>
      <c r="I32" s="6">
        <f t="shared" ref="I32:I37" si="14">H32/D32</f>
        <v>1.0444444444444443</v>
      </c>
      <c r="J32" s="66"/>
      <c r="K32" s="80"/>
      <c r="L32" s="66"/>
      <c r="M32" s="80"/>
      <c r="N32" s="8">
        <f t="shared" ref="N32:N37" si="15">G32*E32</f>
        <v>0.20444444444444443</v>
      </c>
      <c r="O32" s="9">
        <f t="shared" ref="O32:O37" si="16">I32*E32</f>
        <v>0.20888888888888887</v>
      </c>
      <c r="P32" s="10"/>
      <c r="Q32" s="9"/>
      <c r="R32" s="9"/>
      <c r="S32" s="9"/>
    </row>
    <row r="33" spans="1:19" ht="30" customHeight="1" x14ac:dyDescent="0.5">
      <c r="A33" s="68"/>
      <c r="B33" s="24" t="s">
        <v>72</v>
      </c>
      <c r="C33" s="5" t="s">
        <v>12</v>
      </c>
      <c r="D33" s="40" t="s">
        <v>78</v>
      </c>
      <c r="E33" s="61">
        <v>0.15</v>
      </c>
      <c r="F33" s="6">
        <v>0.59</v>
      </c>
      <c r="G33" s="6">
        <v>0</v>
      </c>
      <c r="H33" s="6">
        <v>0.56999999999999995</v>
      </c>
      <c r="I33" s="6">
        <v>0</v>
      </c>
      <c r="J33" s="66"/>
      <c r="K33" s="66"/>
      <c r="L33" s="66"/>
      <c r="M33" s="66"/>
      <c r="N33" s="8">
        <f t="shared" si="15"/>
        <v>0</v>
      </c>
      <c r="O33" s="9">
        <f t="shared" si="16"/>
        <v>0</v>
      </c>
      <c r="P33" s="10"/>
      <c r="Q33" s="9"/>
      <c r="R33" s="9"/>
      <c r="S33" s="9"/>
    </row>
    <row r="34" spans="1:19" ht="30" customHeight="1" x14ac:dyDescent="0.5">
      <c r="A34" s="68"/>
      <c r="B34" s="24" t="s">
        <v>73</v>
      </c>
      <c r="C34" s="5" t="s">
        <v>12</v>
      </c>
      <c r="D34" s="40">
        <v>0.05</v>
      </c>
      <c r="E34" s="61">
        <v>0.15</v>
      </c>
      <c r="F34" s="7">
        <v>0.06</v>
      </c>
      <c r="G34" s="6">
        <f t="shared" ref="G34:G37" si="17">F34/D34</f>
        <v>1.2</v>
      </c>
      <c r="H34" s="7">
        <v>6.3E-2</v>
      </c>
      <c r="I34" s="6">
        <f t="shared" si="14"/>
        <v>1.26</v>
      </c>
      <c r="J34" s="80"/>
      <c r="K34" s="80"/>
      <c r="L34" s="80"/>
      <c r="M34" s="80"/>
      <c r="N34" s="8">
        <f t="shared" si="15"/>
        <v>0.18</v>
      </c>
      <c r="O34" s="9">
        <f t="shared" si="16"/>
        <v>0.189</v>
      </c>
      <c r="P34" s="10"/>
      <c r="Q34" s="9"/>
      <c r="R34" s="9"/>
      <c r="S34" s="9"/>
    </row>
    <row r="35" spans="1:19" ht="30" customHeight="1" x14ac:dyDescent="0.5">
      <c r="A35" s="68"/>
      <c r="B35" s="24" t="s">
        <v>74</v>
      </c>
      <c r="C35" s="5" t="s">
        <v>12</v>
      </c>
      <c r="D35" s="40">
        <v>0.01</v>
      </c>
      <c r="E35" s="61">
        <v>0.15</v>
      </c>
      <c r="F35" s="7">
        <v>0.04</v>
      </c>
      <c r="G35" s="6">
        <f t="shared" si="17"/>
        <v>4</v>
      </c>
      <c r="H35" s="7">
        <v>2.4E-2</v>
      </c>
      <c r="I35" s="6">
        <f>H35/D35</f>
        <v>2.4</v>
      </c>
      <c r="J35" s="80"/>
      <c r="K35" s="80"/>
      <c r="L35" s="80"/>
      <c r="M35" s="80"/>
      <c r="N35" s="8">
        <f t="shared" si="15"/>
        <v>0.6</v>
      </c>
      <c r="O35" s="9">
        <f t="shared" si="16"/>
        <v>0.36</v>
      </c>
      <c r="P35" s="10"/>
      <c r="Q35" s="9"/>
      <c r="R35" s="9"/>
      <c r="S35" s="9"/>
    </row>
    <row r="36" spans="1:19" ht="30" customHeight="1" x14ac:dyDescent="0.5">
      <c r="A36" s="68"/>
      <c r="B36" s="24" t="s">
        <v>75</v>
      </c>
      <c r="C36" s="5" t="s">
        <v>12</v>
      </c>
      <c r="D36" s="40">
        <v>0.8</v>
      </c>
      <c r="E36" s="61">
        <v>0.15</v>
      </c>
      <c r="F36" s="7">
        <v>0.82</v>
      </c>
      <c r="G36" s="6">
        <f t="shared" si="17"/>
        <v>1.0249999999999999</v>
      </c>
      <c r="H36" s="7">
        <v>0.89</v>
      </c>
      <c r="I36" s="6">
        <f t="shared" si="14"/>
        <v>1.1125</v>
      </c>
      <c r="J36" s="80"/>
      <c r="K36" s="80"/>
      <c r="L36" s="80"/>
      <c r="M36" s="80"/>
      <c r="N36" s="8">
        <f t="shared" si="15"/>
        <v>0.15374999999999997</v>
      </c>
      <c r="O36" s="9">
        <f t="shared" si="16"/>
        <v>0.166875</v>
      </c>
      <c r="P36" s="10"/>
      <c r="Q36" s="9"/>
      <c r="R36" s="9"/>
      <c r="S36" s="9"/>
    </row>
    <row r="37" spans="1:19" ht="30" customHeight="1" x14ac:dyDescent="0.5">
      <c r="A37" s="68"/>
      <c r="B37" s="25" t="s">
        <v>76</v>
      </c>
      <c r="C37" s="5" t="s">
        <v>12</v>
      </c>
      <c r="D37" s="40">
        <v>0.65</v>
      </c>
      <c r="E37" s="61">
        <v>0.1</v>
      </c>
      <c r="F37" s="7">
        <v>0</v>
      </c>
      <c r="G37" s="6">
        <f t="shared" si="17"/>
        <v>0</v>
      </c>
      <c r="H37" s="7">
        <v>0</v>
      </c>
      <c r="I37" s="6">
        <f t="shared" si="14"/>
        <v>0</v>
      </c>
      <c r="J37" s="80"/>
      <c r="K37" s="80"/>
      <c r="L37" s="80"/>
      <c r="M37" s="80"/>
      <c r="N37" s="8">
        <f t="shared" si="15"/>
        <v>0</v>
      </c>
      <c r="O37" s="9">
        <f t="shared" si="16"/>
        <v>0</v>
      </c>
      <c r="P37" s="10"/>
      <c r="Q37" s="9"/>
      <c r="R37" s="9"/>
      <c r="S37" s="9"/>
    </row>
    <row r="38" spans="1:19" ht="30" customHeight="1" x14ac:dyDescent="0.5">
      <c r="A38" s="68"/>
      <c r="B38" s="69" t="s">
        <v>19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1"/>
      <c r="N38" s="15">
        <f>SUM(N31:N37)</f>
        <v>1.1471944444444444</v>
      </c>
      <c r="O38" s="16">
        <f>SUM(O31:O37)</f>
        <v>0.96326388888888881</v>
      </c>
      <c r="P38" s="17">
        <f>SUM(P31:P37)</f>
        <v>0</v>
      </c>
      <c r="Q38" s="16">
        <f>SUM(Q31:Q37)</f>
        <v>0</v>
      </c>
      <c r="R38" s="18" t="s">
        <v>20</v>
      </c>
      <c r="S38" s="19">
        <f>SUM(S31:S37)</f>
        <v>0</v>
      </c>
    </row>
    <row r="39" spans="1:19" ht="30" customHeight="1" x14ac:dyDescent="0.5">
      <c r="A39" s="1" t="s">
        <v>0</v>
      </c>
      <c r="B39" s="2" t="s">
        <v>1</v>
      </c>
      <c r="C39" s="2" t="s">
        <v>2</v>
      </c>
      <c r="D39" s="2" t="s">
        <v>3</v>
      </c>
      <c r="E39" s="59" t="s">
        <v>4</v>
      </c>
      <c r="F39" s="52" t="s">
        <v>94</v>
      </c>
      <c r="G39" s="55" t="s">
        <v>93</v>
      </c>
      <c r="H39" s="53" t="s">
        <v>95</v>
      </c>
      <c r="I39" s="58" t="s">
        <v>96</v>
      </c>
      <c r="J39" s="76" t="s">
        <v>97</v>
      </c>
      <c r="K39" s="76" t="s">
        <v>98</v>
      </c>
      <c r="L39" s="77" t="s">
        <v>99</v>
      </c>
      <c r="M39" s="77" t="s">
        <v>100</v>
      </c>
      <c r="N39" s="63" t="s">
        <v>5</v>
      </c>
      <c r="O39" s="63" t="s">
        <v>6</v>
      </c>
      <c r="P39" s="1" t="s">
        <v>7</v>
      </c>
      <c r="Q39" s="2" t="s">
        <v>8</v>
      </c>
      <c r="R39" s="2" t="s">
        <v>9</v>
      </c>
      <c r="S39" s="64" t="s">
        <v>10</v>
      </c>
    </row>
    <row r="40" spans="1:19" ht="30" customHeight="1" x14ac:dyDescent="0.5">
      <c r="A40" s="68" t="s">
        <v>39</v>
      </c>
      <c r="B40" s="20" t="s">
        <v>40</v>
      </c>
      <c r="C40" s="5" t="s">
        <v>12</v>
      </c>
      <c r="D40" s="40" t="s">
        <v>41</v>
      </c>
      <c r="E40" s="61">
        <v>0.2</v>
      </c>
      <c r="F40" s="26">
        <v>2.6</v>
      </c>
      <c r="G40" s="9">
        <v>1</v>
      </c>
      <c r="H40" s="7">
        <v>0.1</v>
      </c>
      <c r="I40" s="26">
        <v>1</v>
      </c>
      <c r="J40" s="80"/>
      <c r="K40" s="86"/>
      <c r="L40" s="80"/>
      <c r="M40" s="86"/>
      <c r="N40" s="14">
        <f>G40*E40</f>
        <v>0.2</v>
      </c>
      <c r="O40" s="9">
        <f>I40*E40</f>
        <v>0.2</v>
      </c>
      <c r="P40" s="10"/>
      <c r="Q40" s="9"/>
      <c r="R40" s="9"/>
      <c r="S40" s="9"/>
    </row>
    <row r="41" spans="1:19" ht="30" customHeight="1" x14ac:dyDescent="0.5">
      <c r="A41" s="68"/>
      <c r="B41" s="20" t="s">
        <v>42</v>
      </c>
      <c r="C41" s="5" t="s">
        <v>12</v>
      </c>
      <c r="D41" s="40">
        <v>1</v>
      </c>
      <c r="E41" s="61">
        <v>0.2</v>
      </c>
      <c r="F41" s="6">
        <v>1</v>
      </c>
      <c r="G41" s="9">
        <f>F41/D41</f>
        <v>1</v>
      </c>
      <c r="H41" s="7">
        <v>1</v>
      </c>
      <c r="I41" s="6">
        <f>H41/D41</f>
        <v>1</v>
      </c>
      <c r="J41" s="80"/>
      <c r="K41" s="66"/>
      <c r="L41" s="80"/>
      <c r="M41" s="66"/>
      <c r="N41" s="14">
        <f t="shared" ref="N41:N45" si="18">G41*E41</f>
        <v>0.2</v>
      </c>
      <c r="O41" s="9">
        <f t="shared" ref="O41:O45" si="19">I41*E41</f>
        <v>0.2</v>
      </c>
      <c r="P41" s="10"/>
      <c r="Q41" s="9"/>
      <c r="R41" s="9"/>
      <c r="S41" s="9"/>
    </row>
    <row r="42" spans="1:19" ht="30" customHeight="1" x14ac:dyDescent="0.5">
      <c r="A42" s="68"/>
      <c r="B42" s="20" t="s">
        <v>43</v>
      </c>
      <c r="C42" s="5" t="s">
        <v>12</v>
      </c>
      <c r="D42" s="40">
        <v>1</v>
      </c>
      <c r="E42" s="61">
        <v>0.15</v>
      </c>
      <c r="F42" s="6">
        <v>1</v>
      </c>
      <c r="G42" s="9">
        <f t="shared" ref="G42:G45" si="20">F42/D42</f>
        <v>1</v>
      </c>
      <c r="H42" s="7">
        <v>1</v>
      </c>
      <c r="I42" s="6">
        <f>H42/D42</f>
        <v>1</v>
      </c>
      <c r="J42" s="80"/>
      <c r="K42" s="66"/>
      <c r="L42" s="80"/>
      <c r="M42" s="66"/>
      <c r="N42" s="14">
        <f t="shared" si="18"/>
        <v>0.15</v>
      </c>
      <c r="O42" s="9">
        <f t="shared" si="19"/>
        <v>0.15</v>
      </c>
      <c r="P42" s="10"/>
      <c r="Q42" s="9"/>
      <c r="R42" s="9"/>
      <c r="S42" s="9"/>
    </row>
    <row r="43" spans="1:19" ht="30" customHeight="1" x14ac:dyDescent="0.5">
      <c r="A43" s="68"/>
      <c r="B43" s="20" t="s">
        <v>44</v>
      </c>
      <c r="C43" s="5" t="s">
        <v>12</v>
      </c>
      <c r="D43" s="67" t="s">
        <v>79</v>
      </c>
      <c r="E43" s="61">
        <v>0.15</v>
      </c>
      <c r="F43" s="6" t="s">
        <v>101</v>
      </c>
      <c r="G43" s="9">
        <v>0.16</v>
      </c>
      <c r="H43" s="7" t="s">
        <v>102</v>
      </c>
      <c r="I43" s="6">
        <v>0.37</v>
      </c>
      <c r="J43" s="80"/>
      <c r="K43" s="66"/>
      <c r="L43" s="80"/>
      <c r="M43" s="66"/>
      <c r="N43" s="14">
        <f>G43*E43</f>
        <v>2.4E-2</v>
      </c>
      <c r="O43" s="9">
        <f t="shared" si="19"/>
        <v>5.5500000000000001E-2</v>
      </c>
      <c r="P43" s="10"/>
      <c r="Q43" s="9"/>
      <c r="R43" s="9"/>
      <c r="S43" s="9"/>
    </row>
    <row r="44" spans="1:19" ht="30" customHeight="1" x14ac:dyDescent="0.5">
      <c r="A44" s="68"/>
      <c r="B44" s="20" t="s">
        <v>45</v>
      </c>
      <c r="C44" s="5" t="s">
        <v>28</v>
      </c>
      <c r="D44" s="40">
        <v>1</v>
      </c>
      <c r="E44" s="61">
        <v>0.15</v>
      </c>
      <c r="F44" s="6">
        <v>1</v>
      </c>
      <c r="G44" s="9">
        <f t="shared" si="20"/>
        <v>1</v>
      </c>
      <c r="H44" s="7">
        <v>1</v>
      </c>
      <c r="I44" s="6">
        <f t="shared" ref="I44:I45" si="21">H44/D44</f>
        <v>1</v>
      </c>
      <c r="J44" s="80"/>
      <c r="K44" s="66"/>
      <c r="L44" s="80"/>
      <c r="M44" s="66"/>
      <c r="N44" s="14">
        <f t="shared" si="18"/>
        <v>0.15</v>
      </c>
      <c r="O44" s="9">
        <f t="shared" si="19"/>
        <v>0.15</v>
      </c>
      <c r="P44" s="10"/>
      <c r="Q44" s="9"/>
      <c r="R44" s="9"/>
      <c r="S44" s="9"/>
    </row>
    <row r="45" spans="1:19" ht="30" customHeight="1" x14ac:dyDescent="0.5">
      <c r="A45" s="68"/>
      <c r="B45" s="20" t="s">
        <v>46</v>
      </c>
      <c r="C45" s="5" t="s">
        <v>12</v>
      </c>
      <c r="D45" s="40">
        <v>1</v>
      </c>
      <c r="E45" s="61">
        <v>0.15</v>
      </c>
      <c r="F45" s="6">
        <v>1</v>
      </c>
      <c r="G45" s="9">
        <f t="shared" si="20"/>
        <v>1</v>
      </c>
      <c r="H45" s="7">
        <v>1</v>
      </c>
      <c r="I45" s="6">
        <f t="shared" si="21"/>
        <v>1</v>
      </c>
      <c r="J45" s="80"/>
      <c r="K45" s="66"/>
      <c r="L45" s="80"/>
      <c r="M45" s="66"/>
      <c r="N45" s="14">
        <f t="shared" si="18"/>
        <v>0.15</v>
      </c>
      <c r="O45" s="9">
        <f t="shared" si="19"/>
        <v>0.15</v>
      </c>
      <c r="P45" s="10"/>
      <c r="Q45" s="9"/>
      <c r="R45" s="9"/>
      <c r="S45" s="9"/>
    </row>
    <row r="46" spans="1:19" ht="30" customHeight="1" x14ac:dyDescent="0.5">
      <c r="A46" s="68"/>
      <c r="B46" s="69" t="s">
        <v>19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1"/>
      <c r="N46" s="15">
        <f>SUM(N40:N45)</f>
        <v>0.87400000000000011</v>
      </c>
      <c r="O46" s="16">
        <f>SUM(O40:O45)</f>
        <v>0.90550000000000008</v>
      </c>
      <c r="P46" s="17">
        <f>SUM(P40:P45)</f>
        <v>0</v>
      </c>
      <c r="Q46" s="16">
        <f>SUM(Q40:Q45)</f>
        <v>0</v>
      </c>
      <c r="R46" s="18" t="s">
        <v>20</v>
      </c>
      <c r="S46" s="19">
        <f>SUM(S40:S45)</f>
        <v>0</v>
      </c>
    </row>
    <row r="47" spans="1:19" ht="30" customHeight="1" x14ac:dyDescent="0.5">
      <c r="A47" s="1" t="s">
        <v>0</v>
      </c>
      <c r="B47" s="2" t="s">
        <v>1</v>
      </c>
      <c r="C47" s="2" t="s">
        <v>2</v>
      </c>
      <c r="D47" s="2" t="s">
        <v>3</v>
      </c>
      <c r="E47" s="59" t="s">
        <v>4</v>
      </c>
      <c r="F47" s="52" t="s">
        <v>94</v>
      </c>
      <c r="G47" s="55" t="s">
        <v>93</v>
      </c>
      <c r="H47" s="53" t="s">
        <v>95</v>
      </c>
      <c r="I47" s="58" t="s">
        <v>96</v>
      </c>
      <c r="J47" s="76" t="s">
        <v>97</v>
      </c>
      <c r="K47" s="76" t="s">
        <v>98</v>
      </c>
      <c r="L47" s="77" t="s">
        <v>99</v>
      </c>
      <c r="M47" s="77" t="s">
        <v>100</v>
      </c>
      <c r="N47" s="63" t="s">
        <v>5</v>
      </c>
      <c r="O47" s="63" t="s">
        <v>6</v>
      </c>
      <c r="P47" s="1" t="s">
        <v>7</v>
      </c>
      <c r="Q47" s="2" t="s">
        <v>8</v>
      </c>
      <c r="R47" s="2" t="s">
        <v>9</v>
      </c>
      <c r="S47" s="64" t="s">
        <v>10</v>
      </c>
    </row>
    <row r="48" spans="1:19" ht="30" customHeight="1" x14ac:dyDescent="0.5">
      <c r="A48" s="68" t="s">
        <v>47</v>
      </c>
      <c r="B48" s="20" t="s">
        <v>48</v>
      </c>
      <c r="C48" s="5" t="s">
        <v>12</v>
      </c>
      <c r="D48" s="40">
        <v>1</v>
      </c>
      <c r="E48" s="39">
        <v>0.15</v>
      </c>
      <c r="F48" s="11">
        <v>0</v>
      </c>
      <c r="G48" s="27">
        <f>F48/D48</f>
        <v>0</v>
      </c>
      <c r="H48" s="11">
        <v>0</v>
      </c>
      <c r="I48" s="27">
        <f>H48/D48</f>
        <v>0</v>
      </c>
      <c r="J48" s="85"/>
      <c r="K48" s="87"/>
      <c r="L48" s="85"/>
      <c r="M48" s="87"/>
      <c r="N48" s="8">
        <f>G48*E48</f>
        <v>0</v>
      </c>
      <c r="O48" s="9">
        <f>I48*E48</f>
        <v>0</v>
      </c>
      <c r="P48" s="10"/>
      <c r="Q48" s="9"/>
      <c r="R48" s="9"/>
      <c r="S48" s="8"/>
    </row>
    <row r="49" spans="1:28" ht="30" customHeight="1" x14ac:dyDescent="0.5">
      <c r="A49" s="68"/>
      <c r="B49" s="20" t="s">
        <v>80</v>
      </c>
      <c r="C49" s="5" t="s">
        <v>12</v>
      </c>
      <c r="D49" s="40">
        <v>1</v>
      </c>
      <c r="E49" s="39">
        <v>0.15</v>
      </c>
      <c r="F49" s="11">
        <v>0.64</v>
      </c>
      <c r="G49" s="27">
        <f t="shared" ref="G49:G54" si="22">F49/D49</f>
        <v>0.64</v>
      </c>
      <c r="H49" s="11">
        <v>0.69</v>
      </c>
      <c r="I49" s="27">
        <f t="shared" ref="I49:I54" si="23">H49/D49</f>
        <v>0.69</v>
      </c>
      <c r="J49" s="85"/>
      <c r="K49" s="87"/>
      <c r="L49" s="85"/>
      <c r="M49" s="87"/>
      <c r="N49" s="8">
        <f t="shared" ref="N49:N54" si="24">G49*E49</f>
        <v>9.6000000000000002E-2</v>
      </c>
      <c r="O49" s="9">
        <f t="shared" ref="O49:O53" si="25">I49*E49</f>
        <v>0.10349999999999999</v>
      </c>
      <c r="P49" s="10"/>
      <c r="Q49" s="9"/>
      <c r="R49" s="9"/>
      <c r="S49" s="8"/>
    </row>
    <row r="50" spans="1:28" ht="30" customHeight="1" x14ac:dyDescent="0.5">
      <c r="A50" s="68"/>
      <c r="B50" s="20" t="s">
        <v>49</v>
      </c>
      <c r="C50" s="5" t="s">
        <v>12</v>
      </c>
      <c r="D50" s="40">
        <v>0.9</v>
      </c>
      <c r="E50" s="39">
        <v>0.2</v>
      </c>
      <c r="F50" s="11">
        <v>0.99</v>
      </c>
      <c r="G50" s="27">
        <f t="shared" si="22"/>
        <v>1.0999999999999999</v>
      </c>
      <c r="H50" s="11">
        <v>1</v>
      </c>
      <c r="I50" s="27">
        <f t="shared" si="23"/>
        <v>1.1111111111111112</v>
      </c>
      <c r="J50" s="85"/>
      <c r="K50" s="87"/>
      <c r="L50" s="85"/>
      <c r="M50" s="87"/>
      <c r="N50" s="8">
        <f t="shared" si="24"/>
        <v>0.21999999999999997</v>
      </c>
      <c r="O50" s="9">
        <f t="shared" si="25"/>
        <v>0.22222222222222224</v>
      </c>
      <c r="P50" s="10"/>
      <c r="Q50" s="9"/>
      <c r="R50" s="9"/>
      <c r="S50" s="8"/>
    </row>
    <row r="51" spans="1:28" ht="30" customHeight="1" x14ac:dyDescent="0.5">
      <c r="A51" s="68"/>
      <c r="B51" s="20" t="s">
        <v>81</v>
      </c>
      <c r="C51" s="5" t="s">
        <v>12</v>
      </c>
      <c r="D51" s="40">
        <v>0.9</v>
      </c>
      <c r="E51" s="39">
        <v>0.15</v>
      </c>
      <c r="F51" s="11">
        <v>0.95</v>
      </c>
      <c r="G51" s="27">
        <f t="shared" si="22"/>
        <v>1.0555555555555556</v>
      </c>
      <c r="H51" s="11">
        <v>0.92</v>
      </c>
      <c r="I51" s="27">
        <f t="shared" si="23"/>
        <v>1.0222222222222221</v>
      </c>
      <c r="J51" s="85"/>
      <c r="K51" s="87"/>
      <c r="L51" s="85"/>
      <c r="M51" s="87"/>
      <c r="N51" s="8">
        <f t="shared" si="24"/>
        <v>0.15833333333333333</v>
      </c>
      <c r="O51" s="9">
        <f t="shared" si="25"/>
        <v>0.15333333333333332</v>
      </c>
      <c r="P51" s="10"/>
      <c r="Q51" s="9"/>
      <c r="R51" s="9"/>
      <c r="S51" s="8"/>
      <c r="Y51" s="3">
        <v>30</v>
      </c>
      <c r="Z51" s="3">
        <v>50</v>
      </c>
      <c r="AA51" s="3">
        <v>93</v>
      </c>
      <c r="AB51" s="3">
        <v>73</v>
      </c>
    </row>
    <row r="52" spans="1:28" ht="30" customHeight="1" x14ac:dyDescent="0.5">
      <c r="A52" s="68"/>
      <c r="B52" s="20" t="s">
        <v>50</v>
      </c>
      <c r="C52" s="5" t="s">
        <v>12</v>
      </c>
      <c r="D52" s="40">
        <v>0.8</v>
      </c>
      <c r="E52" s="39">
        <v>0.1</v>
      </c>
      <c r="F52" s="11">
        <v>0.88</v>
      </c>
      <c r="G52" s="27">
        <f t="shared" si="22"/>
        <v>1.0999999999999999</v>
      </c>
      <c r="H52" s="11">
        <v>0.91</v>
      </c>
      <c r="I52" s="27">
        <f t="shared" si="23"/>
        <v>1.1375</v>
      </c>
      <c r="J52" s="85"/>
      <c r="K52" s="87"/>
      <c r="L52" s="85"/>
      <c r="M52" s="87"/>
      <c r="N52" s="8">
        <f t="shared" si="24"/>
        <v>0.10999999999999999</v>
      </c>
      <c r="O52" s="9">
        <f t="shared" si="25"/>
        <v>0.11375</v>
      </c>
      <c r="P52" s="10"/>
      <c r="Q52" s="9"/>
      <c r="R52" s="9"/>
      <c r="S52" s="8"/>
    </row>
    <row r="53" spans="1:28" ht="30" customHeight="1" x14ac:dyDescent="0.5">
      <c r="A53" s="68"/>
      <c r="B53" s="20" t="s">
        <v>51</v>
      </c>
      <c r="C53" s="5" t="s">
        <v>12</v>
      </c>
      <c r="D53" s="40">
        <v>0.75</v>
      </c>
      <c r="E53" s="39">
        <v>0.1</v>
      </c>
      <c r="F53" s="11">
        <v>0.74</v>
      </c>
      <c r="G53" s="27">
        <f t="shared" si="22"/>
        <v>0.98666666666666669</v>
      </c>
      <c r="H53" s="11">
        <v>0.73</v>
      </c>
      <c r="I53" s="27">
        <f t="shared" si="23"/>
        <v>0.97333333333333327</v>
      </c>
      <c r="J53" s="85"/>
      <c r="K53" s="87"/>
      <c r="L53" s="85"/>
      <c r="M53" s="87"/>
      <c r="N53" s="8">
        <f>G53*E53</f>
        <v>9.866666666666668E-2</v>
      </c>
      <c r="O53" s="9">
        <f t="shared" si="25"/>
        <v>9.7333333333333327E-2</v>
      </c>
      <c r="P53" s="10"/>
      <c r="Q53" s="9"/>
      <c r="R53" s="9"/>
      <c r="S53" s="8"/>
    </row>
    <row r="54" spans="1:28" ht="30" customHeight="1" x14ac:dyDescent="0.5">
      <c r="A54" s="68"/>
      <c r="B54" s="20" t="s">
        <v>52</v>
      </c>
      <c r="C54" s="5" t="s">
        <v>12</v>
      </c>
      <c r="D54" s="40">
        <v>0.97</v>
      </c>
      <c r="E54" s="39">
        <v>0.15</v>
      </c>
      <c r="F54" s="11">
        <v>0.99</v>
      </c>
      <c r="G54" s="27">
        <f t="shared" si="22"/>
        <v>1.0206185567010309</v>
      </c>
      <c r="H54" s="11">
        <v>0.99</v>
      </c>
      <c r="I54" s="27">
        <f t="shared" si="23"/>
        <v>1.0206185567010309</v>
      </c>
      <c r="J54" s="85"/>
      <c r="K54" s="87"/>
      <c r="L54" s="85"/>
      <c r="M54" s="87"/>
      <c r="N54" s="8">
        <f t="shared" si="24"/>
        <v>0.15309278350515462</v>
      </c>
      <c r="O54" s="9">
        <f>I54*E54</f>
        <v>0.15309278350515462</v>
      </c>
      <c r="P54" s="10"/>
      <c r="Q54" s="9"/>
      <c r="R54" s="9"/>
      <c r="S54" s="8"/>
    </row>
    <row r="55" spans="1:28" ht="30" customHeight="1" x14ac:dyDescent="0.5">
      <c r="A55" s="68"/>
      <c r="B55" s="69" t="s">
        <v>19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1"/>
      <c r="N55" s="15">
        <f>SUM(N48:N54)</f>
        <v>0.83609278350515459</v>
      </c>
      <c r="O55" s="16">
        <f>SUM(O48:O54)</f>
        <v>0.84323167239404351</v>
      </c>
      <c r="P55" s="17">
        <f>SUM(P48:P54)</f>
        <v>0</v>
      </c>
      <c r="Q55" s="16">
        <f>SUM(Q48:Q54)</f>
        <v>0</v>
      </c>
      <c r="R55" s="18" t="s">
        <v>20</v>
      </c>
      <c r="S55" s="28">
        <f>SUM(S48:S54)</f>
        <v>0</v>
      </c>
    </row>
    <row r="56" spans="1:28" ht="30" customHeight="1" x14ac:dyDescent="0.5">
      <c r="A56" s="1" t="s">
        <v>0</v>
      </c>
      <c r="B56" s="2" t="s">
        <v>1</v>
      </c>
      <c r="C56" s="2" t="s">
        <v>2</v>
      </c>
      <c r="D56" s="2" t="s">
        <v>3</v>
      </c>
      <c r="E56" s="59" t="s">
        <v>4</v>
      </c>
      <c r="F56" s="52" t="s">
        <v>94</v>
      </c>
      <c r="G56" s="55" t="s">
        <v>93</v>
      </c>
      <c r="H56" s="53" t="s">
        <v>95</v>
      </c>
      <c r="I56" s="58" t="s">
        <v>96</v>
      </c>
      <c r="J56" s="76" t="s">
        <v>97</v>
      </c>
      <c r="K56" s="76" t="s">
        <v>98</v>
      </c>
      <c r="L56" s="77" t="s">
        <v>99</v>
      </c>
      <c r="M56" s="77" t="s">
        <v>100</v>
      </c>
      <c r="N56" s="63" t="s">
        <v>5</v>
      </c>
      <c r="O56" s="63" t="s">
        <v>6</v>
      </c>
      <c r="P56" s="1" t="s">
        <v>7</v>
      </c>
      <c r="Q56" s="2" t="s">
        <v>8</v>
      </c>
      <c r="R56" s="2" t="s">
        <v>9</v>
      </c>
      <c r="S56" s="64" t="s">
        <v>10</v>
      </c>
    </row>
    <row r="57" spans="1:28" ht="30" customHeight="1" x14ac:dyDescent="0.5">
      <c r="A57" s="68" t="s">
        <v>53</v>
      </c>
      <c r="B57" s="25" t="s">
        <v>54</v>
      </c>
      <c r="C57" s="5" t="s">
        <v>28</v>
      </c>
      <c r="D57" s="40">
        <v>1</v>
      </c>
      <c r="E57" s="61">
        <v>0.1</v>
      </c>
      <c r="F57" s="6">
        <v>1</v>
      </c>
      <c r="G57" s="7">
        <f>F57/D57</f>
        <v>1</v>
      </c>
      <c r="H57" s="6">
        <v>0.99</v>
      </c>
      <c r="I57" s="7">
        <f>H57/D57</f>
        <v>0.99</v>
      </c>
      <c r="J57" s="66"/>
      <c r="K57" s="80"/>
      <c r="L57" s="66"/>
      <c r="M57" s="80"/>
      <c r="N57" s="8">
        <f>G57*E57</f>
        <v>0.1</v>
      </c>
      <c r="O57" s="9">
        <f>I57*E57</f>
        <v>9.9000000000000005E-2</v>
      </c>
      <c r="P57" s="10"/>
      <c r="Q57" s="9"/>
      <c r="R57" s="9"/>
      <c r="S57" s="9"/>
    </row>
    <row r="58" spans="1:28" ht="30" customHeight="1" x14ac:dyDescent="0.5">
      <c r="A58" s="68"/>
      <c r="B58" s="25" t="s">
        <v>55</v>
      </c>
      <c r="C58" s="5" t="s">
        <v>28</v>
      </c>
      <c r="D58" s="40">
        <v>0.95</v>
      </c>
      <c r="E58" s="61">
        <v>0.1</v>
      </c>
      <c r="F58" s="6">
        <v>1</v>
      </c>
      <c r="G58" s="7">
        <f t="shared" ref="G58:G64" si="26">F58/D58</f>
        <v>1.0526315789473684</v>
      </c>
      <c r="H58" s="6">
        <v>1</v>
      </c>
      <c r="I58" s="7">
        <f t="shared" ref="I58:I64" si="27">H58/D58</f>
        <v>1.0526315789473684</v>
      </c>
      <c r="J58" s="66"/>
      <c r="K58" s="80"/>
      <c r="L58" s="66"/>
      <c r="M58" s="80"/>
      <c r="N58" s="8">
        <f t="shared" ref="N58:N64" si="28">G58*E58</f>
        <v>0.10526315789473684</v>
      </c>
      <c r="O58" s="9">
        <f t="shared" ref="O58:O64" si="29">I58*E58</f>
        <v>0.10526315789473684</v>
      </c>
      <c r="P58" s="10"/>
      <c r="Q58" s="9"/>
      <c r="R58" s="9"/>
      <c r="S58" s="9"/>
    </row>
    <row r="59" spans="1:28" ht="30" customHeight="1" x14ac:dyDescent="0.5">
      <c r="A59" s="68"/>
      <c r="B59" s="25" t="s">
        <v>56</v>
      </c>
      <c r="C59" s="5" t="s">
        <v>28</v>
      </c>
      <c r="D59" s="40">
        <v>0.99</v>
      </c>
      <c r="E59" s="61">
        <v>0.1</v>
      </c>
      <c r="F59" s="6">
        <v>0.99</v>
      </c>
      <c r="G59" s="7">
        <f t="shared" si="26"/>
        <v>1</v>
      </c>
      <c r="H59" s="6">
        <v>1</v>
      </c>
      <c r="I59" s="7">
        <f t="shared" si="27"/>
        <v>1.0101010101010102</v>
      </c>
      <c r="J59" s="66"/>
      <c r="K59" s="80"/>
      <c r="L59" s="66"/>
      <c r="M59" s="80"/>
      <c r="N59" s="8">
        <f t="shared" si="28"/>
        <v>0.1</v>
      </c>
      <c r="O59" s="9">
        <f t="shared" si="29"/>
        <v>0.10101010101010102</v>
      </c>
      <c r="P59" s="10"/>
      <c r="Q59" s="9"/>
      <c r="R59" s="9"/>
      <c r="S59" s="9"/>
    </row>
    <row r="60" spans="1:28" ht="30" customHeight="1" x14ac:dyDescent="0.5">
      <c r="A60" s="68"/>
      <c r="B60" s="25" t="s">
        <v>57</v>
      </c>
      <c r="C60" s="5" t="s">
        <v>12</v>
      </c>
      <c r="D60" s="40">
        <v>1</v>
      </c>
      <c r="E60" s="61">
        <v>0.1</v>
      </c>
      <c r="F60" s="6">
        <v>1</v>
      </c>
      <c r="G60" s="7">
        <f t="shared" si="26"/>
        <v>1</v>
      </c>
      <c r="H60" s="6">
        <v>1</v>
      </c>
      <c r="I60" s="7">
        <f t="shared" si="27"/>
        <v>1</v>
      </c>
      <c r="J60" s="66"/>
      <c r="K60" s="80"/>
      <c r="L60" s="66"/>
      <c r="M60" s="80"/>
      <c r="N60" s="8">
        <f t="shared" si="28"/>
        <v>0.1</v>
      </c>
      <c r="O60" s="9">
        <f t="shared" si="29"/>
        <v>0.1</v>
      </c>
      <c r="P60" s="10"/>
      <c r="Q60" s="9"/>
      <c r="R60" s="9"/>
      <c r="S60" s="9"/>
    </row>
    <row r="61" spans="1:28" ht="30" customHeight="1" x14ac:dyDescent="0.5">
      <c r="A61" s="68"/>
      <c r="B61" s="25" t="s">
        <v>82</v>
      </c>
      <c r="C61" s="5" t="s">
        <v>28</v>
      </c>
      <c r="D61" s="40">
        <v>1</v>
      </c>
      <c r="E61" s="61">
        <v>0.1</v>
      </c>
      <c r="F61" s="6">
        <v>1</v>
      </c>
      <c r="G61" s="7">
        <f t="shared" si="26"/>
        <v>1</v>
      </c>
      <c r="H61" s="6">
        <v>1</v>
      </c>
      <c r="I61" s="7">
        <f t="shared" si="27"/>
        <v>1</v>
      </c>
      <c r="J61" s="66"/>
      <c r="K61" s="80"/>
      <c r="L61" s="66"/>
      <c r="M61" s="80"/>
      <c r="N61" s="8">
        <f t="shared" si="28"/>
        <v>0.1</v>
      </c>
      <c r="O61" s="9">
        <f t="shared" si="29"/>
        <v>0.1</v>
      </c>
      <c r="P61" s="10"/>
      <c r="Q61" s="9"/>
      <c r="R61" s="9"/>
      <c r="S61" s="9"/>
    </row>
    <row r="62" spans="1:28" ht="30" customHeight="1" x14ac:dyDescent="0.5">
      <c r="A62" s="68"/>
      <c r="B62" s="25" t="s">
        <v>83</v>
      </c>
      <c r="C62" s="5" t="s">
        <v>28</v>
      </c>
      <c r="D62" s="40">
        <v>1</v>
      </c>
      <c r="E62" s="61">
        <v>0.25</v>
      </c>
      <c r="F62" s="6">
        <v>0.9</v>
      </c>
      <c r="G62" s="7">
        <f t="shared" si="26"/>
        <v>0.9</v>
      </c>
      <c r="H62" s="6">
        <v>0.875</v>
      </c>
      <c r="I62" s="7">
        <f t="shared" si="27"/>
        <v>0.875</v>
      </c>
      <c r="J62" s="66"/>
      <c r="K62" s="80"/>
      <c r="L62" s="66"/>
      <c r="M62" s="80"/>
      <c r="N62" s="8">
        <f t="shared" si="28"/>
        <v>0.22500000000000001</v>
      </c>
      <c r="O62" s="9">
        <f t="shared" si="29"/>
        <v>0.21875</v>
      </c>
      <c r="P62" s="10"/>
      <c r="Q62" s="9"/>
      <c r="R62" s="9"/>
      <c r="S62" s="9"/>
    </row>
    <row r="63" spans="1:28" ht="30" customHeight="1" x14ac:dyDescent="0.5">
      <c r="A63" s="68"/>
      <c r="B63" s="25" t="s">
        <v>18</v>
      </c>
      <c r="C63" s="5" t="s">
        <v>12</v>
      </c>
      <c r="D63" s="41">
        <v>1</v>
      </c>
      <c r="E63" s="61">
        <v>0.15</v>
      </c>
      <c r="F63" s="5">
        <v>2</v>
      </c>
      <c r="G63" s="7">
        <f t="shared" si="26"/>
        <v>2</v>
      </c>
      <c r="H63" s="5">
        <v>2</v>
      </c>
      <c r="I63" s="7">
        <f t="shared" si="27"/>
        <v>2</v>
      </c>
      <c r="J63" s="66"/>
      <c r="K63" s="80"/>
      <c r="L63" s="66"/>
      <c r="M63" s="80"/>
      <c r="N63" s="8">
        <f t="shared" si="28"/>
        <v>0.3</v>
      </c>
      <c r="O63" s="9">
        <f t="shared" si="29"/>
        <v>0.3</v>
      </c>
      <c r="P63" s="10"/>
      <c r="Q63" s="9"/>
      <c r="R63" s="9"/>
      <c r="S63" s="9"/>
    </row>
    <row r="64" spans="1:28" ht="30" customHeight="1" x14ac:dyDescent="0.5">
      <c r="A64" s="68"/>
      <c r="B64" s="25" t="s">
        <v>84</v>
      </c>
      <c r="C64" s="5" t="s">
        <v>12</v>
      </c>
      <c r="D64" s="40">
        <v>1</v>
      </c>
      <c r="E64" s="61">
        <v>0.1</v>
      </c>
      <c r="F64" s="6">
        <v>0.3</v>
      </c>
      <c r="G64" s="7">
        <f t="shared" si="26"/>
        <v>0.3</v>
      </c>
      <c r="H64" s="6">
        <v>0.65</v>
      </c>
      <c r="I64" s="7">
        <f t="shared" si="27"/>
        <v>0.65</v>
      </c>
      <c r="J64" s="66"/>
      <c r="K64" s="80"/>
      <c r="L64" s="66"/>
      <c r="M64" s="80"/>
      <c r="N64" s="8">
        <f t="shared" si="28"/>
        <v>0.03</v>
      </c>
      <c r="O64" s="9">
        <f t="shared" si="29"/>
        <v>6.5000000000000002E-2</v>
      </c>
      <c r="P64" s="10"/>
      <c r="Q64" s="9"/>
      <c r="R64" s="9"/>
      <c r="S64" s="9"/>
    </row>
    <row r="65" spans="1:19" ht="30" customHeight="1" x14ac:dyDescent="0.5">
      <c r="A65" s="68"/>
      <c r="B65" s="69" t="s">
        <v>19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1"/>
      <c r="N65" s="15">
        <f>SUM(N57:N64)</f>
        <v>1.0602631578947368</v>
      </c>
      <c r="O65" s="16">
        <f>SUM(O57:O64)</f>
        <v>1.0890232589048379</v>
      </c>
      <c r="P65" s="17">
        <f>SUM(P57:P64)</f>
        <v>0</v>
      </c>
      <c r="Q65" s="16">
        <f>SUM(Q57:Q64)</f>
        <v>0</v>
      </c>
      <c r="R65" s="18" t="s">
        <v>20</v>
      </c>
      <c r="S65" s="19">
        <f>SUM(S57:S64)</f>
        <v>0</v>
      </c>
    </row>
    <row r="66" spans="1:19" ht="30" customHeight="1" x14ac:dyDescent="0.5">
      <c r="A66" s="1" t="s">
        <v>0</v>
      </c>
      <c r="B66" s="2" t="s">
        <v>1</v>
      </c>
      <c r="C66" s="2" t="s">
        <v>2</v>
      </c>
      <c r="D66" s="2" t="s">
        <v>3</v>
      </c>
      <c r="E66" s="59" t="s">
        <v>4</v>
      </c>
      <c r="F66" s="52" t="s">
        <v>94</v>
      </c>
      <c r="G66" s="55" t="s">
        <v>93</v>
      </c>
      <c r="H66" s="53" t="s">
        <v>95</v>
      </c>
      <c r="I66" s="58" t="s">
        <v>96</v>
      </c>
      <c r="J66" s="76" t="s">
        <v>97</v>
      </c>
      <c r="K66" s="76" t="s">
        <v>98</v>
      </c>
      <c r="L66" s="77" t="s">
        <v>99</v>
      </c>
      <c r="M66" s="77" t="s">
        <v>100</v>
      </c>
      <c r="N66" s="63" t="s">
        <v>5</v>
      </c>
      <c r="O66" s="63" t="s">
        <v>6</v>
      </c>
      <c r="P66" s="1" t="s">
        <v>7</v>
      </c>
      <c r="Q66" s="2" t="s">
        <v>8</v>
      </c>
      <c r="R66" s="2" t="s">
        <v>9</v>
      </c>
      <c r="S66" s="64" t="s">
        <v>10</v>
      </c>
    </row>
    <row r="67" spans="1:19" ht="30" customHeight="1" x14ac:dyDescent="0.5">
      <c r="A67" s="68" t="s">
        <v>58</v>
      </c>
      <c r="B67" s="20" t="s">
        <v>59</v>
      </c>
      <c r="C67" s="21" t="s">
        <v>12</v>
      </c>
      <c r="D67" s="40">
        <v>1</v>
      </c>
      <c r="E67" s="61">
        <v>0.15</v>
      </c>
      <c r="F67" s="6">
        <v>1</v>
      </c>
      <c r="G67" s="7">
        <v>1</v>
      </c>
      <c r="H67" s="6">
        <v>1</v>
      </c>
      <c r="I67" s="7">
        <v>1</v>
      </c>
      <c r="J67" s="66"/>
      <c r="K67" s="80"/>
      <c r="L67" s="66"/>
      <c r="M67" s="80"/>
      <c r="N67" s="8">
        <f>G67*E67</f>
        <v>0.15</v>
      </c>
      <c r="O67" s="9">
        <f>I67*E67</f>
        <v>0.15</v>
      </c>
      <c r="P67" s="10"/>
      <c r="Q67" s="9"/>
      <c r="R67" s="9"/>
      <c r="S67" s="9"/>
    </row>
    <row r="68" spans="1:19" ht="30" customHeight="1" x14ac:dyDescent="0.5">
      <c r="A68" s="68"/>
      <c r="B68" s="20" t="s">
        <v>60</v>
      </c>
      <c r="C68" s="21" t="s">
        <v>12</v>
      </c>
      <c r="D68" s="41">
        <v>6</v>
      </c>
      <c r="E68" s="61">
        <v>0.1</v>
      </c>
      <c r="F68" s="66">
        <v>0</v>
      </c>
      <c r="G68" s="7">
        <v>0</v>
      </c>
      <c r="H68" s="66">
        <v>0</v>
      </c>
      <c r="I68" s="7">
        <v>0</v>
      </c>
      <c r="J68" s="66"/>
      <c r="K68" s="80"/>
      <c r="L68" s="66"/>
      <c r="M68" s="80"/>
      <c r="N68" s="8">
        <f t="shared" ref="N68:N72" si="30">G68*E68</f>
        <v>0</v>
      </c>
      <c r="O68" s="9">
        <f t="shared" ref="O68:O72" si="31">I68*E68</f>
        <v>0</v>
      </c>
      <c r="P68" s="10"/>
      <c r="Q68" s="9"/>
      <c r="R68" s="9"/>
      <c r="S68" s="9"/>
    </row>
    <row r="69" spans="1:19" ht="30" customHeight="1" x14ac:dyDescent="0.5">
      <c r="A69" s="68"/>
      <c r="B69" s="20" t="s">
        <v>61</v>
      </c>
      <c r="C69" s="21" t="s">
        <v>12</v>
      </c>
      <c r="D69" s="41">
        <v>2</v>
      </c>
      <c r="E69" s="61">
        <v>0.1</v>
      </c>
      <c r="F69" s="66">
        <v>0</v>
      </c>
      <c r="G69" s="7">
        <v>0</v>
      </c>
      <c r="H69" s="66">
        <v>0</v>
      </c>
      <c r="I69" s="7">
        <v>0</v>
      </c>
      <c r="J69" s="66"/>
      <c r="K69" s="80"/>
      <c r="L69" s="66"/>
      <c r="M69" s="80"/>
      <c r="N69" s="8">
        <f t="shared" si="30"/>
        <v>0</v>
      </c>
      <c r="O69" s="9">
        <f t="shared" si="31"/>
        <v>0</v>
      </c>
      <c r="P69" s="10"/>
      <c r="Q69" s="9"/>
      <c r="R69" s="9"/>
      <c r="S69" s="9"/>
    </row>
    <row r="70" spans="1:19" ht="30" customHeight="1" x14ac:dyDescent="0.5">
      <c r="A70" s="68"/>
      <c r="B70" s="20" t="s">
        <v>85</v>
      </c>
      <c r="C70" s="21" t="s">
        <v>12</v>
      </c>
      <c r="D70" s="41">
        <v>9</v>
      </c>
      <c r="E70" s="61">
        <v>0.3</v>
      </c>
      <c r="F70" s="66">
        <v>8</v>
      </c>
      <c r="G70" s="7">
        <v>0.89</v>
      </c>
      <c r="H70" s="66">
        <v>2</v>
      </c>
      <c r="I70" s="7">
        <v>0.22</v>
      </c>
      <c r="J70" s="66"/>
      <c r="K70" s="80"/>
      <c r="L70" s="66"/>
      <c r="M70" s="80"/>
      <c r="N70" s="8">
        <f t="shared" si="30"/>
        <v>0.26700000000000002</v>
      </c>
      <c r="O70" s="9">
        <f t="shared" si="31"/>
        <v>6.6000000000000003E-2</v>
      </c>
      <c r="P70" s="10"/>
      <c r="Q70" s="9"/>
      <c r="R70" s="9"/>
      <c r="S70" s="9"/>
    </row>
    <row r="71" spans="1:19" ht="30" customHeight="1" x14ac:dyDescent="0.5">
      <c r="A71" s="68"/>
      <c r="B71" s="20" t="s">
        <v>86</v>
      </c>
      <c r="C71" s="21" t="s">
        <v>12</v>
      </c>
      <c r="D71" s="41" t="s">
        <v>87</v>
      </c>
      <c r="E71" s="61">
        <v>0.1</v>
      </c>
      <c r="F71" s="56" t="s">
        <v>103</v>
      </c>
      <c r="G71" s="7">
        <v>4.4999999999999998E-2</v>
      </c>
      <c r="H71" s="56" t="s">
        <v>104</v>
      </c>
      <c r="I71" s="7">
        <v>0.2</v>
      </c>
      <c r="J71" s="66"/>
      <c r="K71" s="80"/>
      <c r="L71" s="66"/>
      <c r="M71" s="80"/>
      <c r="N71" s="8">
        <f t="shared" si="30"/>
        <v>4.4999999999999997E-3</v>
      </c>
      <c r="O71" s="9">
        <f t="shared" si="31"/>
        <v>2.0000000000000004E-2</v>
      </c>
      <c r="P71" s="10"/>
      <c r="Q71" s="9"/>
      <c r="R71" s="9"/>
      <c r="S71" s="9"/>
    </row>
    <row r="72" spans="1:19" ht="30" customHeight="1" x14ac:dyDescent="0.5">
      <c r="A72" s="68"/>
      <c r="B72" s="20" t="s">
        <v>62</v>
      </c>
      <c r="C72" s="21" t="s">
        <v>12</v>
      </c>
      <c r="D72" s="41">
        <v>2</v>
      </c>
      <c r="E72" s="61">
        <v>0.25</v>
      </c>
      <c r="F72" s="66">
        <v>0</v>
      </c>
      <c r="G72" s="7">
        <v>0</v>
      </c>
      <c r="H72" s="66">
        <v>1</v>
      </c>
      <c r="I72" s="7">
        <v>0.5</v>
      </c>
      <c r="J72" s="66"/>
      <c r="K72" s="80"/>
      <c r="L72" s="66"/>
      <c r="M72" s="80"/>
      <c r="N72" s="8">
        <f t="shared" si="30"/>
        <v>0</v>
      </c>
      <c r="O72" s="9">
        <f t="shared" si="31"/>
        <v>0.125</v>
      </c>
      <c r="P72" s="10"/>
      <c r="Q72" s="9"/>
      <c r="R72" s="9"/>
      <c r="S72" s="9"/>
    </row>
    <row r="73" spans="1:19" ht="30" customHeight="1" x14ac:dyDescent="0.5">
      <c r="A73" s="68"/>
      <c r="B73" s="69" t="s">
        <v>19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1"/>
      <c r="N73" s="15">
        <f>SUM(N67:N72)</f>
        <v>0.42150000000000004</v>
      </c>
      <c r="O73" s="16">
        <f>SUM(O67:O72)</f>
        <v>0.36099999999999999</v>
      </c>
      <c r="P73" s="17">
        <f>SUM(P67:P72)</f>
        <v>0</v>
      </c>
      <c r="Q73" s="16">
        <f>SUM(Q67:Q72)</f>
        <v>0</v>
      </c>
      <c r="R73" s="18" t="s">
        <v>20</v>
      </c>
      <c r="S73" s="19">
        <f>SUM(S67:S72)</f>
        <v>0</v>
      </c>
    </row>
    <row r="74" spans="1:19" ht="30" customHeight="1" x14ac:dyDescent="0.5">
      <c r="A74" s="1" t="s">
        <v>0</v>
      </c>
      <c r="B74" s="2" t="s">
        <v>1</v>
      </c>
      <c r="C74" s="2" t="s">
        <v>2</v>
      </c>
      <c r="D74" s="2" t="s">
        <v>3</v>
      </c>
      <c r="E74" s="59" t="s">
        <v>4</v>
      </c>
      <c r="F74" s="52" t="s">
        <v>94</v>
      </c>
      <c r="G74" s="55" t="s">
        <v>93</v>
      </c>
      <c r="H74" s="53" t="s">
        <v>95</v>
      </c>
      <c r="I74" s="58" t="s">
        <v>96</v>
      </c>
      <c r="J74" s="76" t="s">
        <v>97</v>
      </c>
      <c r="K74" s="76" t="s">
        <v>98</v>
      </c>
      <c r="L74" s="77" t="s">
        <v>99</v>
      </c>
      <c r="M74" s="77" t="s">
        <v>100</v>
      </c>
      <c r="N74" s="63" t="s">
        <v>5</v>
      </c>
      <c r="O74" s="63" t="s">
        <v>6</v>
      </c>
      <c r="P74" s="1" t="s">
        <v>7</v>
      </c>
      <c r="Q74" s="2" t="s">
        <v>8</v>
      </c>
      <c r="R74" s="2" t="s">
        <v>9</v>
      </c>
      <c r="S74" s="64" t="s">
        <v>10</v>
      </c>
    </row>
    <row r="75" spans="1:19" ht="30" customHeight="1" x14ac:dyDescent="0.5">
      <c r="A75" s="68" t="s">
        <v>64</v>
      </c>
      <c r="B75" s="20" t="s">
        <v>65</v>
      </c>
      <c r="C75" s="5" t="s">
        <v>12</v>
      </c>
      <c r="D75" s="40">
        <v>0.8</v>
      </c>
      <c r="E75" s="61">
        <v>0.25</v>
      </c>
      <c r="F75" s="6">
        <v>0</v>
      </c>
      <c r="G75" s="6">
        <f>F75/D75</f>
        <v>0</v>
      </c>
      <c r="H75" s="6">
        <v>0</v>
      </c>
      <c r="I75" s="6">
        <f>H75/D75</f>
        <v>0</v>
      </c>
      <c r="J75" s="66"/>
      <c r="K75" s="66"/>
      <c r="L75" s="66"/>
      <c r="M75" s="66"/>
      <c r="N75" s="8">
        <f>G75*E75</f>
        <v>0</v>
      </c>
      <c r="O75" s="9">
        <f>I75*E75</f>
        <v>0</v>
      </c>
      <c r="P75" s="10"/>
      <c r="Q75" s="9"/>
      <c r="R75" s="9"/>
      <c r="S75" s="9"/>
    </row>
    <row r="76" spans="1:19" ht="30" customHeight="1" x14ac:dyDescent="0.5">
      <c r="A76" s="68"/>
      <c r="B76" s="20" t="s">
        <v>66</v>
      </c>
      <c r="C76" s="5" t="s">
        <v>12</v>
      </c>
      <c r="D76" s="41">
        <v>1</v>
      </c>
      <c r="E76" s="61">
        <v>0.1</v>
      </c>
      <c r="F76" s="56">
        <v>1</v>
      </c>
      <c r="G76" s="6">
        <v>1</v>
      </c>
      <c r="H76" s="56">
        <v>0</v>
      </c>
      <c r="I76" s="6">
        <f t="shared" ref="I76:I81" si="32">H76/D76</f>
        <v>0</v>
      </c>
      <c r="J76" s="66"/>
      <c r="K76" s="66"/>
      <c r="L76" s="66"/>
      <c r="M76" s="66"/>
      <c r="N76" s="8">
        <f t="shared" ref="N76:N81" si="33">G76*E76</f>
        <v>0.1</v>
      </c>
      <c r="O76" s="9">
        <f t="shared" ref="O76:O81" si="34">I76*E76</f>
        <v>0</v>
      </c>
      <c r="P76" s="10"/>
      <c r="Q76" s="9"/>
      <c r="R76" s="9"/>
      <c r="S76" s="9"/>
    </row>
    <row r="77" spans="1:19" ht="30" customHeight="1" x14ac:dyDescent="0.5">
      <c r="A77" s="68"/>
      <c r="B77" s="20" t="s">
        <v>88</v>
      </c>
      <c r="C77" s="5" t="s">
        <v>12</v>
      </c>
      <c r="D77" s="40">
        <v>0.8</v>
      </c>
      <c r="E77" s="61">
        <v>0.25</v>
      </c>
      <c r="F77" s="6">
        <v>0.48</v>
      </c>
      <c r="G77" s="6">
        <v>0.48</v>
      </c>
      <c r="H77" s="6">
        <v>0.53</v>
      </c>
      <c r="I77" s="6">
        <f t="shared" si="32"/>
        <v>0.66249999999999998</v>
      </c>
      <c r="J77" s="66"/>
      <c r="K77" s="66"/>
      <c r="L77" s="66"/>
      <c r="M77" s="66"/>
      <c r="N77" s="8">
        <f>G77*E77</f>
        <v>0.12</v>
      </c>
      <c r="O77" s="9">
        <f t="shared" si="34"/>
        <v>0.16562499999999999</v>
      </c>
      <c r="P77" s="10"/>
      <c r="Q77" s="9"/>
      <c r="R77" s="9"/>
      <c r="S77" s="9"/>
    </row>
    <row r="78" spans="1:19" ht="30" customHeight="1" x14ac:dyDescent="0.5">
      <c r="A78" s="68"/>
      <c r="B78" s="20" t="s">
        <v>89</v>
      </c>
      <c r="C78" s="5" t="s">
        <v>12</v>
      </c>
      <c r="D78" s="40">
        <v>0.8</v>
      </c>
      <c r="E78" s="61">
        <v>0.1</v>
      </c>
      <c r="F78" s="6">
        <v>0</v>
      </c>
      <c r="G78" s="6">
        <v>0</v>
      </c>
      <c r="H78" s="6">
        <v>0</v>
      </c>
      <c r="I78" s="6">
        <f t="shared" si="32"/>
        <v>0</v>
      </c>
      <c r="J78" s="66"/>
      <c r="K78" s="66"/>
      <c r="L78" s="66"/>
      <c r="M78" s="66"/>
      <c r="N78" s="8">
        <f t="shared" si="33"/>
        <v>0</v>
      </c>
      <c r="O78" s="9">
        <f t="shared" si="34"/>
        <v>0</v>
      </c>
      <c r="P78" s="10"/>
      <c r="Q78" s="9"/>
      <c r="R78" s="9"/>
      <c r="S78" s="9"/>
    </row>
    <row r="79" spans="1:19" ht="30" customHeight="1" x14ac:dyDescent="0.5">
      <c r="A79" s="68"/>
      <c r="B79" s="20" t="s">
        <v>90</v>
      </c>
      <c r="C79" s="12" t="s">
        <v>12</v>
      </c>
      <c r="D79" s="40" t="s">
        <v>92</v>
      </c>
      <c r="E79" s="61">
        <v>0.1</v>
      </c>
      <c r="F79" s="6">
        <v>2.53E-2</v>
      </c>
      <c r="G79" s="13">
        <v>1</v>
      </c>
      <c r="H79" s="6">
        <v>3.7999999999999999E-2</v>
      </c>
      <c r="I79" s="6">
        <v>1</v>
      </c>
      <c r="J79" s="66"/>
      <c r="K79" s="81"/>
      <c r="L79" s="66"/>
      <c r="M79" s="81"/>
      <c r="N79" s="8">
        <f>G79*E79</f>
        <v>0.1</v>
      </c>
      <c r="O79" s="9">
        <f t="shared" si="34"/>
        <v>0.1</v>
      </c>
      <c r="P79" s="10"/>
      <c r="Q79" s="9"/>
      <c r="R79" s="9"/>
      <c r="S79" s="9"/>
    </row>
    <row r="80" spans="1:19" ht="30" customHeight="1" x14ac:dyDescent="0.5">
      <c r="A80" s="68"/>
      <c r="B80" s="20" t="s">
        <v>91</v>
      </c>
      <c r="C80" s="12" t="s">
        <v>12</v>
      </c>
      <c r="D80" s="40" t="s">
        <v>92</v>
      </c>
      <c r="E80" s="61">
        <v>0.1</v>
      </c>
      <c r="F80" s="6">
        <v>4.1999999999999997E-3</v>
      </c>
      <c r="G80" s="13">
        <v>1</v>
      </c>
      <c r="H80" s="6">
        <v>0</v>
      </c>
      <c r="I80" s="6">
        <v>1</v>
      </c>
      <c r="J80" s="66"/>
      <c r="K80" s="81"/>
      <c r="L80" s="66"/>
      <c r="M80" s="81"/>
      <c r="N80" s="8">
        <f>G80*E80</f>
        <v>0.1</v>
      </c>
      <c r="O80" s="9">
        <f t="shared" si="34"/>
        <v>0.1</v>
      </c>
      <c r="P80" s="10"/>
      <c r="Q80" s="9"/>
      <c r="R80" s="9"/>
      <c r="S80" s="9"/>
    </row>
    <row r="81" spans="1:19" ht="30" customHeight="1" x14ac:dyDescent="0.5">
      <c r="A81" s="68"/>
      <c r="B81" s="20" t="s">
        <v>63</v>
      </c>
      <c r="C81" s="5" t="s">
        <v>12</v>
      </c>
      <c r="D81" s="41">
        <v>2</v>
      </c>
      <c r="E81" s="61">
        <v>0.1</v>
      </c>
      <c r="F81" s="66">
        <v>0</v>
      </c>
      <c r="G81" s="6">
        <v>0</v>
      </c>
      <c r="H81" s="66">
        <v>1</v>
      </c>
      <c r="I81" s="6">
        <f t="shared" si="32"/>
        <v>0.5</v>
      </c>
      <c r="J81" s="66"/>
      <c r="K81" s="66"/>
      <c r="L81" s="66"/>
      <c r="M81" s="66"/>
      <c r="N81" s="8">
        <f t="shared" si="33"/>
        <v>0</v>
      </c>
      <c r="O81" s="9">
        <f t="shared" si="34"/>
        <v>0.05</v>
      </c>
      <c r="P81" s="10"/>
      <c r="Q81" s="9"/>
      <c r="R81" s="9"/>
      <c r="S81" s="9"/>
    </row>
    <row r="82" spans="1:19" ht="30" customHeight="1" x14ac:dyDescent="0.5">
      <c r="A82" s="75"/>
      <c r="B82" s="69" t="s">
        <v>19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1"/>
      <c r="N82" s="34">
        <f>SUM(N75:N81)</f>
        <v>0.42000000000000004</v>
      </c>
      <c r="O82" s="35">
        <f>SUM(O75:O81)</f>
        <v>0.41562499999999997</v>
      </c>
      <c r="P82" s="36">
        <f>SUM(P75:P81)</f>
        <v>0</v>
      </c>
      <c r="Q82" s="35">
        <f>SUM(Q75:Q81)</f>
        <v>0</v>
      </c>
      <c r="R82" s="18" t="s">
        <v>20</v>
      </c>
      <c r="S82" s="19">
        <f>SUM(S75:S81)</f>
        <v>0</v>
      </c>
    </row>
  </sheetData>
  <mergeCells count="20">
    <mergeCell ref="A75:A82"/>
    <mergeCell ref="A48:A55"/>
    <mergeCell ref="A57:A65"/>
    <mergeCell ref="A67:A73"/>
    <mergeCell ref="B55:M55"/>
    <mergeCell ref="B65:M65"/>
    <mergeCell ref="B73:M73"/>
    <mergeCell ref="B82:M82"/>
    <mergeCell ref="A25:A29"/>
    <mergeCell ref="A31:A38"/>
    <mergeCell ref="A40:A46"/>
    <mergeCell ref="B38:M38"/>
    <mergeCell ref="B46:M46"/>
    <mergeCell ref="B29:M29"/>
    <mergeCell ref="A2:A8"/>
    <mergeCell ref="A10:A14"/>
    <mergeCell ref="A16:A23"/>
    <mergeCell ref="B23:M23"/>
    <mergeCell ref="B14:M14"/>
    <mergeCell ref="B8:M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Almaha Sulaiman Alkhurayji</dc:creator>
  <cp:lastModifiedBy>Almaha Sulaiman Alkhurayji</cp:lastModifiedBy>
  <dcterms:created xsi:type="dcterms:W3CDTF">2025-05-04T07:04:59Z</dcterms:created>
  <dcterms:modified xsi:type="dcterms:W3CDTF">2025-09-14T07:34:02Z</dcterms:modified>
</cp:coreProperties>
</file>